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Pacing" sheetId="3" state="visible" r:id="rId5"/>
    <sheet name="Gems" sheetId="4" state="visible" r:id="rId6"/>
    <sheet name="Odds" sheetId="5" state="visible" r:id="rId7"/>
    <sheet name="Revenue" sheetId="6" state="visible" r:id="rId8"/>
    <sheet name="Growth" sheetId="7" state="visible" r:id="rId9"/>
    <sheet name="Heat maps" sheetId="8" state="visible" r:id="rId10"/>
    <sheet name="Track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<sst xmlns="http://schemas.openxmlformats.org/spreadsheetml/2006/main" count="619" uniqueCount="495">
  <si>
    <t xml:space="preserve">K-pop idol sim: economy, growth and revenue model</t>
  </si>
  <si>
    <t xml:space="preserve">What each tab does</t>
  </si>
  <si>
    <t xml:space="preserve">Inputs: numbers every tab shares (Roblox cut, DevEx rate, gems per pull, pity, event length, regions where paid random items are restricted).</t>
  </si>
  <si>
    <t xml:space="preserve">Pacing: upgrade costs, zones and walls. How long free and paying players wait at each point, checked against targets.</t>
  </si>
  <si>
    <t xml:space="preserve">Gems: free gem income, Robux gem bundles, and what it costs to reach pity sooner.</t>
  </si>
  <si>
    <t xml:space="preserve">Odds: pull odds (the exact numbers the game must show), odds with a luck boost on, pity maths, and the average cost of each chase item.</t>
  </si>
  <si>
    <t xml:space="preserve">Revenue: the chance a new player buys each item, revenue per player, a monthly projection and a sensitivity grid.</t>
  </si>
  <si>
    <t xml:space="preserve">Growth: 26 weeks of new players (organic, friends, off-Roblox content, ads, comebacks), a retention heat map by install week, Creator Rewards, and whether ads pay back.</t>
  </si>
  <si>
    <t xml:space="preserve">Heat maps: revenue by product and player age, and planned play time by feature and player age.</t>
  </si>
  <si>
    <t xml:space="preserve">Tracking: the analytics events to log so these heat maps fill with real data after launch.</t>
  </si>
  <si>
    <t xml:space="preserve">Colours</t>
  </si>
  <si>
    <t xml:space="preserve">Blue text = an input you can change.   Black text = calculated.   Green text = pulled from another tab.</t>
  </si>
  <si>
    <t xml:space="preserve">Yellow fill = a guess or a number you should check, then replace with real data.   Heat maps: white = low, red/blue = high.</t>
  </si>
  <si>
    <t xml:space="preserve">How to use it</t>
  </si>
  <si>
    <t xml:space="preserve">1. Pacing: tune zone costs, boosts and walls until every Status says OK.</t>
  </si>
  <si>
    <t xml:space="preserve">2. Gems: make sure free players reach pity before a comeback ends.</t>
  </si>
  <si>
    <t xml:space="preserve">3. Odds: base odds and boosted odds must both add up to 100%, and the game must show exactly these numbers (Roblox rule, May 2026).</t>
  </si>
  <si>
    <t xml:space="preserve">4. After launch: log the events on the Tracking tab, then replace the yellow cells with Creator Analytics numbers. Revenue, Growth and the heat maps update on their own.</t>
  </si>
  <si>
    <t xml:space="preserve">Important</t>
  </si>
  <si>
    <t xml:space="preserve">Every retention, purchase and growth rate here is a placeholder guess, not an industry benchmark. The model shows how the parts connect, not what you will earn.</t>
  </si>
  <si>
    <t xml:space="preserve">The research behind the design choices (what keeps players coming back, and where it turns harmful) is in design/engagement-research.md.</t>
  </si>
  <si>
    <t xml:space="preserve">Not modelled yet</t>
  </si>
  <si>
    <t xml:space="preserve">Rewarded video ads (Roblox only offers them to games with 100K+ average daily players), trading, and day-by-day timing inside a week.</t>
  </si>
  <si>
    <t xml:space="preserve">Shared inputs</t>
  </si>
  <si>
    <t xml:space="preserve">Blue = change me. Yellow = check this, or replace it with real data.</t>
  </si>
  <si>
    <t xml:space="preserve">Input</t>
  </si>
  <si>
    <t xml:space="preserve">Value</t>
  </si>
  <si>
    <t xml:space="preserve">Unit</t>
  </si>
  <si>
    <t xml:space="preserve">Note / source</t>
  </si>
  <si>
    <t xml:space="preserve">DevEx rate (cash you get per Robux you exchange)</t>
  </si>
  <si>
    <t xml:space="preserve">USD per Robux</t>
  </si>
  <si>
    <t xml:space="preserve">Roblox Creator Docs, "Earn on Roblox": 10,000 Robux = $38.</t>
  </si>
  <si>
    <t xml:space="preserve">Your share of Robux from in-game sales</t>
  </si>
  <si>
    <t xml:space="preserve">%</t>
  </si>
  <si>
    <t xml:space="preserve">Roblox Creator Docs: creators generally earn 70% of what they sell in Robux in their game.</t>
  </si>
  <si>
    <t xml:space="preserve">What a player pays per Robux</t>
  </si>
  <si>
    <t xml:space="preserve">About $9.99 for 800 Robux. Varies by package, platform and country.</t>
  </si>
  <si>
    <t xml:space="preserve">Gems per single pull</t>
  </si>
  <si>
    <t xml:space="preserve">gems</t>
  </si>
  <si>
    <t xml:space="preserve">Design choice.</t>
  </si>
  <si>
    <t xml:space="preserve">Pity: Center or better guaranteed by pull #</t>
  </si>
  <si>
    <t xml:space="preserve">pulls</t>
  </si>
  <si>
    <t xml:space="preserve">Comeback (event) length</t>
  </si>
  <si>
    <t xml:space="preserve">days</t>
  </si>
  <si>
    <t xml:space="preserve">Minutes an engaged player plays per day</t>
  </si>
  <si>
    <t xml:space="preserve">minutes</t>
  </si>
  <si>
    <t xml:space="preserve">Placeholder. Replace with average session length x sessions per day.</t>
  </si>
  <si>
    <t xml:space="preserve">Share of your players where paid random items are restricted</t>
  </si>
  <si>
    <t xml:space="preserve">Roblox names Australia, Belgium, Netherlands, UK and Brazil as regulated markets (DevForum, May 2026). Placeholder share: check players by country in Creator Analytics.</t>
  </si>
  <si>
    <t xml:space="preserve">Restricted players buy pack-related items at this share of the normal rate</t>
  </si>
  <si>
    <t xml:space="preserve">They cannot buy packs with Robux-bought gems, but may still buy boosts for earned packs. Placeholder.</t>
  </si>
  <si>
    <t xml:space="preserve">Calculated</t>
  </si>
  <si>
    <t xml:space="preserve">Of every $1 a player spends, you keep</t>
  </si>
  <si>
    <t xml:space="preserve">After Roblox's 30% and the DevEx exchange rate.</t>
  </si>
  <si>
    <t xml:space="preserve">Pacing: fast early, slower later</t>
  </si>
  <si>
    <t xml:space="preserve">Each upgrade costs more than the last and boosts Hype a little. Entering a zone means paying a wall, then Hype jumps. Simulated for active play only.</t>
  </si>
  <si>
    <t xml:space="preserve">Upgrade inputs</t>
  </si>
  <si>
    <t xml:space="preserve">Hype per click at start</t>
  </si>
  <si>
    <t xml:space="preserve">Clicks per second while playing</t>
  </si>
  <si>
    <t xml:space="preserve">Average including pauses. Placeholder.</t>
  </si>
  <si>
    <t xml:space="preserve">First upgrade cost (Hype)</t>
  </si>
  <si>
    <t xml:space="preserve">Each upgrade boosts Hype by</t>
  </si>
  <si>
    <t xml:space="preserve">Multiplies: 10 upgrades = 1.1^10 = 2.6x.</t>
  </si>
  <si>
    <t xml:space="preserve">Payer owns 2x Hype? (1 = yes, 0 = no)</t>
  </si>
  <si>
    <t xml:space="preserve">Scenario switch for the payer columns.</t>
  </si>
  <si>
    <t xml:space="preserve">Payer owns Auto-Stream? (1 = yes, 0 = no)</t>
  </si>
  <si>
    <t xml:space="preserve">Auto-Stream speed vs. clicking by hand</t>
  </si>
  <si>
    <t xml:space="preserve">Placeholder: auto-clicks a bit faster than a person keeps up.</t>
  </si>
  <si>
    <t xml:space="preserve">Payer Hype multiplier</t>
  </si>
  <si>
    <t xml:space="preserve">Applies to every payer column below.</t>
  </si>
  <si>
    <t xml:space="preserve">Zone</t>
  </si>
  <si>
    <t xml:space="preserve">Name</t>
  </si>
  <si>
    <t xml:space="preserve">Starts at upgrade #</t>
  </si>
  <si>
    <t xml:space="preserve">Cost growth per upgrade</t>
  </si>
  <si>
    <t xml:space="preserve">Hype boost on entry</t>
  </si>
  <si>
    <t xml:space="preserve">Wall (x that upgrade's cost)</t>
  </si>
  <si>
    <t xml:space="preserve">Total Hype multiplier</t>
  </si>
  <si>
    <t xml:space="preserve">Unlock cost (Hype)</t>
  </si>
  <si>
    <t xml:space="preserve">Free player arrives (min played)</t>
  </si>
  <si>
    <t xml:space="preserve">Free player arrives (day)</t>
  </si>
  <si>
    <t xml:space="preserve">Payer arrives (min played)</t>
  </si>
  <si>
    <t xml:space="preserve">Payer is faster by</t>
  </si>
  <si>
    <t xml:space="preserve">Wall wait, free player (min)</t>
  </si>
  <si>
    <t xml:space="preserve">Practice Room</t>
  </si>
  <si>
    <t xml:space="preserve">Busking Street</t>
  </si>
  <si>
    <t xml:space="preserve">Showcase Hall</t>
  </si>
  <si>
    <t xml:space="preserve">Music Show Stage</t>
  </si>
  <si>
    <t xml:space="preserve">Fan Meeting Hall</t>
  </si>
  <si>
    <t xml:space="preserve">Concert Hall</t>
  </si>
  <si>
    <t xml:space="preserve">Arena</t>
  </si>
  <si>
    <t xml:space="preserve">Stadium</t>
  </si>
  <si>
    <t xml:space="preserve">World Tour</t>
  </si>
  <si>
    <t xml:space="preserve">Zone 1 has no wall. A wall is a one-time unlock cost; the first big one (Showcase Hall) is where the Debut Pack offer appears.</t>
  </si>
  <si>
    <t xml:space="preserve">Does the curve hit the targets?</t>
  </si>
  <si>
    <t xml:space="preserve">Phase</t>
  </si>
  <si>
    <t xml:space="preserve">From (min played)</t>
  </si>
  <si>
    <t xml:space="preserve">To (min played)</t>
  </si>
  <si>
    <t xml:space="preserve">Target wait, fastest (sec)</t>
  </si>
  <si>
    <t xml:space="preserve">Target wait, slowest (sec)</t>
  </si>
  <si>
    <t xml:space="preserve">Actual average wait (sec)</t>
  </si>
  <si>
    <t xml:space="preserve">Status</t>
  </si>
  <si>
    <t xml:space="preserve">First minute</t>
  </si>
  <si>
    <t xml:space="preserve">Minutes 1-5</t>
  </si>
  <si>
    <t xml:space="preserve">Minutes 5-15</t>
  </si>
  <si>
    <t xml:space="preserve">Minutes 15-30</t>
  </si>
  <si>
    <t xml:space="preserve">Minutes 30-60</t>
  </si>
  <si>
    <t xml:space="preserve">Hour 1 to day 7</t>
  </si>
  <si>
    <t xml:space="preserve">Weeks 2-3</t>
  </si>
  <si>
    <t xml:space="preserve">Walls are left out of these averages; their waits are in the zone table above.</t>
  </si>
  <si>
    <t xml:space="preserve">Where a player is after X minutes of play</t>
  </si>
  <si>
    <t xml:space="preserve">Minutes played</t>
  </si>
  <si>
    <t xml:space="preserve">Roughly day</t>
  </si>
  <si>
    <t xml:space="preserve">Upgrades bought (free)</t>
  </si>
  <si>
    <t xml:space="preserve">Zone (free)</t>
  </si>
  <si>
    <t xml:space="preserve">Wait for next upgrade (sec, free)</t>
  </si>
  <si>
    <t xml:space="preserve">Upgrades bought (payer)</t>
  </si>
  <si>
    <t xml:space="preserve">Zone (payer)</t>
  </si>
  <si>
    <t xml:space="preserve">Every upgrade, step by step</t>
  </si>
  <si>
    <t xml:space="preserve">Upgrade #</t>
  </si>
  <si>
    <t xml:space="preserve">Wall? (1 = zone unlock)</t>
  </si>
  <si>
    <t xml:space="preserve">Upgrade cost (Hype)</t>
  </si>
  <si>
    <t xml:space="preserve">Zone while saving</t>
  </si>
  <si>
    <t xml:space="preserve">Hype per sec (free)</t>
  </si>
  <si>
    <t xml:space="preserve">Wait (sec, free)</t>
  </si>
  <si>
    <t xml:space="preserve">Total played (min, free)</t>
  </si>
  <si>
    <t xml:space="preserve">Hype per sec (payer)</t>
  </si>
  <si>
    <t xml:space="preserve">Wait (sec, payer)</t>
  </si>
  <si>
    <t xml:space="preserve">Total played (min, payer)</t>
  </si>
  <si>
    <t xml:space="preserve">Gems: free income, bundles and pity</t>
  </si>
  <si>
    <t xml:space="preserve">Gems are the one premium currency: bought with Robux, or earned slowly by playing. Packs bought with gems count as paid random items.</t>
  </si>
  <si>
    <t xml:space="preserve">Free gems an engaged free player earns per day</t>
  </si>
  <si>
    <t xml:space="preserve">Attendance calendar (average per day)</t>
  </si>
  <si>
    <t xml:space="preserve">Three daily quests</t>
  </si>
  <si>
    <t xml:space="preserve">Weekly quests (per-day share)</t>
  </si>
  <si>
    <t xml:space="preserve">Achievements and small events (per-day average)</t>
  </si>
  <si>
    <t xml:space="preserve">Stage and boss drops</t>
  </si>
  <si>
    <t xml:space="preserve">Daily cap on stage and boss gems</t>
  </si>
  <si>
    <t xml:space="preserve">The cap keeps bought gems valuable without limiting play time.</t>
  </si>
  <si>
    <t xml:space="preserve">Free gems per day</t>
  </si>
  <si>
    <t xml:space="preserve">Gems per pull</t>
  </si>
  <si>
    <t xml:space="preserve">Free pulls per day</t>
  </si>
  <si>
    <t xml:space="preserve">Pity at pull #</t>
  </si>
  <si>
    <t xml:space="preserve">Days for a free player to reach pity</t>
  </si>
  <si>
    <t xml:space="preserve">Comeback length (days)</t>
  </si>
  <si>
    <t xml:space="preserve">Free pulls over one comeback</t>
  </si>
  <si>
    <t xml:space="preserve">Check</t>
  </si>
  <si>
    <t xml:space="preserve">Gem bundles (bought with Robux)</t>
  </si>
  <si>
    <t xml:space="preserve">Base gems per Robux (before bonus)</t>
  </si>
  <si>
    <t xml:space="preserve">Bundle</t>
  </si>
  <si>
    <t xml:space="preserve">Price (Robux)</t>
  </si>
  <si>
    <t xml:space="preserve">Bonus gems</t>
  </si>
  <si>
    <t xml:space="preserve">Gems</t>
  </si>
  <si>
    <t xml:space="preserve">Gems per Robux</t>
  </si>
  <si>
    <t xml:space="preserve">Robux per pull</t>
  </si>
  <si>
    <t xml:space="preserve">Player pays (USD, approx.)</t>
  </si>
  <si>
    <t xml:space="preserve">Gems on first purchase (2x)</t>
  </si>
  <si>
    <t xml:space="preserve">Handful</t>
  </si>
  <si>
    <t xml:space="preserve">Pouch</t>
  </si>
  <si>
    <t xml:space="preserve">Bag</t>
  </si>
  <si>
    <t xml:space="preserve">Box</t>
  </si>
  <si>
    <t xml:space="preserve">Chest</t>
  </si>
  <si>
    <t xml:space="preserve">Vault</t>
  </si>
  <si>
    <t xml:space="preserve">Bundle used for Robux estimates</t>
  </si>
  <si>
    <t xml:space="preserve">Gems per Robux at that bundle</t>
  </si>
  <si>
    <t xml:space="preserve">Paying to reach pity sooner (player saves free gems, buys the rest)</t>
  </si>
  <si>
    <t xml:space="preserve">Reach pity on day</t>
  </si>
  <si>
    <t xml:space="preserve">Free gems saved by then</t>
  </si>
  <si>
    <t xml:space="preserve">Gems still needed</t>
  </si>
  <si>
    <t xml:space="preserve">Robux to buy them</t>
  </si>
  <si>
    <t xml:space="preserve">This is what you sell: the same reward, sooner. Free players still get there by playing.</t>
  </si>
  <si>
    <t xml:space="preserve">Pull odds: the game must show exactly these numbers</t>
  </si>
  <si>
    <t xml:space="preserve">Roblox rule (May 2026): show each outcome's odds as numbers that add up to 100% before purchase; every outcome must give something; restricted players need a non-random option.</t>
  </si>
  <si>
    <t xml:space="preserve">Rarity</t>
  </si>
  <si>
    <t xml:space="preserve">Tier</t>
  </si>
  <si>
    <t xml:space="preserve">Chance per pull</t>
  </si>
  <si>
    <t xml:space="preserve">1 in...</t>
  </si>
  <si>
    <t xml:space="preserve">Chance in one 10-pull</t>
  </si>
  <si>
    <t xml:space="preserve">Luck boost applies?</t>
  </si>
  <si>
    <t xml:space="preserve">Chance with a luck boost on</t>
  </si>
  <si>
    <t xml:space="preserve">Trainee</t>
  </si>
  <si>
    <t xml:space="preserve">Common</t>
  </si>
  <si>
    <t xml:space="preserve">Takes the rest</t>
  </si>
  <si>
    <t xml:space="preserve">Rookie</t>
  </si>
  <si>
    <t xml:space="preserve">Rare</t>
  </si>
  <si>
    <t xml:space="preserve">No</t>
  </si>
  <si>
    <t xml:space="preserve">Idol</t>
  </si>
  <si>
    <t xml:space="preserve">Epic</t>
  </si>
  <si>
    <t xml:space="preserve">Yes</t>
  </si>
  <si>
    <t xml:space="preserve">Center</t>
  </si>
  <si>
    <t xml:space="preserve">Legendary</t>
  </si>
  <si>
    <t xml:space="preserve">Daesang</t>
  </si>
  <si>
    <t xml:space="preserve">Mythic</t>
  </si>
  <si>
    <t xml:space="preserve">Total</t>
  </si>
  <si>
    <t xml:space="preserve">Luck boost multiplier (Lucky pass, potion or Concert Boost on)</t>
  </si>
  <si>
    <t xml:space="preserve">Boost check</t>
  </si>
  <si>
    <t xml:space="preserve">While a boost is on, the odds shown in game must switch to the boosted column. Pity must be shown as a number too (e.g. "Center or better by pull 60").</t>
  </si>
  <si>
    <t xml:space="preserve">Special version</t>
  </si>
  <si>
    <t xml:space="preserve">Chance on any pull</t>
  </si>
  <si>
    <t xml:space="preserve">Note</t>
  </si>
  <si>
    <t xml:space="preserve">Holo</t>
  </si>
  <si>
    <t xml:space="preserve">Rolled separately from rarity. Also made by fusing 5 copies.</t>
  </si>
  <si>
    <t xml:space="preserve">Signed</t>
  </si>
  <si>
    <t xml:space="preserve">Rolled separately from rarity. Also made by fusing 5 Holos.</t>
  </si>
  <si>
    <t xml:space="preserve">Pity</t>
  </si>
  <si>
    <t xml:space="preserve">Center or better guaranteed by pull #</t>
  </si>
  <si>
    <t xml:space="preserve">Chance per pull of Center or better</t>
  </si>
  <si>
    <t xml:space="preserve">Chance pity is needed (no Center+ before it)</t>
  </si>
  <si>
    <t xml:space="preserve">Average pulls per Center or better (with pity)</t>
  </si>
  <si>
    <t xml:space="preserve">Most Robux one chase item should cost on average</t>
  </si>
  <si>
    <t xml:space="preserve">Above this, make it earnable (fusion, events, achievements) rather than pull-only.</t>
  </si>
  <si>
    <t xml:space="preserve">Gems per Robux used (Gems tab)</t>
  </si>
  <si>
    <t xml:space="preserve">Chasing</t>
  </si>
  <si>
    <t xml:space="preserve">Average pulls</t>
  </si>
  <si>
    <t xml:space="preserve">Average gems</t>
  </si>
  <si>
    <t xml:space="preserve">Average Robux</t>
  </si>
  <si>
    <t xml:space="preserve">Verdict</t>
  </si>
  <si>
    <t xml:space="preserve">Center or better (with pity)</t>
  </si>
  <si>
    <t xml:space="preserve">Holo Center</t>
  </si>
  <si>
    <t xml:space="preserve">Holo Daesang</t>
  </si>
  <si>
    <t xml:space="preserve">Signed Center</t>
  </si>
  <si>
    <t xml:space="preserve">Signed Daesang</t>
  </si>
  <si>
    <t xml:space="preserve">Revenue per player (first 30 days)</t>
  </si>
  <si>
    <t xml:space="preserve">Every rate here is a placeholder guess, not a benchmark. Replace the yellow cells with Creator Analytics numbers after launch.</t>
  </si>
  <si>
    <t xml:space="preserve">Players</t>
  </si>
  <si>
    <t xml:space="preserve">New players in the cohort</t>
  </si>
  <si>
    <t xml:space="preserve">Still playing on day 1</t>
  </si>
  <si>
    <t xml:space="preserve">Still playing on day 7</t>
  </si>
  <si>
    <t xml:space="preserve">Still playing on day 30</t>
  </si>
  <si>
    <t xml:space="preserve">Stage</t>
  </si>
  <si>
    <t xml:space="preserve">Share of new players</t>
  </si>
  <si>
    <t xml:space="preserve">New</t>
  </si>
  <si>
    <t xml:space="preserve">Day 1</t>
  </si>
  <si>
    <t xml:space="preserve">Day 7</t>
  </si>
  <si>
    <t xml:space="preserve">Day 30</t>
  </si>
  <si>
    <t xml:space="preserve">Product</t>
  </si>
  <si>
    <t xml:space="preserve">Type</t>
  </si>
  <si>
    <t xml:space="preserve">Pack-related? (restricted in some regions)</t>
  </si>
  <si>
    <t xml:space="preserve">Offered to</t>
  </si>
  <si>
    <t xml:space="preserve">Players at that stage</t>
  </si>
  <si>
    <t xml:space="preserve">Chance one of them buys</t>
  </si>
  <si>
    <t xml:space="preserve">Chance after regional limits</t>
  </si>
  <si>
    <t xml:space="preserve">Buys per buyer (30 days)</t>
  </si>
  <si>
    <t xml:space="preserve">Chance a new player buys</t>
  </si>
  <si>
    <t xml:space="preserve">Buyers</t>
  </si>
  <si>
    <t xml:space="preserve">Robux players spend</t>
  </si>
  <si>
    <t xml:space="preserve">Robux you receive</t>
  </si>
  <si>
    <t xml:space="preserve">Your cash after DevEx (USD)</t>
  </si>
  <si>
    <t xml:space="preserve">Share of your revenue</t>
  </si>
  <si>
    <t xml:space="preserve">Debut Pack (fixed contents, no randomness)</t>
  </si>
  <si>
    <t xml:space="preserve">One-time offer</t>
  </si>
  <si>
    <t xml:space="preserve">Auto-Stream</t>
  </si>
  <si>
    <t xml:space="preserve">Gamepass</t>
  </si>
  <si>
    <t xml:space="preserve">2x Hype</t>
  </si>
  <si>
    <t xml:space="preserve">3x Open</t>
  </si>
  <si>
    <t xml:space="preserve">Offline earnings 24h</t>
  </si>
  <si>
    <t xml:space="preserve">Gem bundle (average)</t>
  </si>
  <si>
    <t xml:space="preserve">Developer product</t>
  </si>
  <si>
    <t xml:space="preserve">Luck potion</t>
  </si>
  <si>
    <t xml:space="preserve">Card shop: pick the exact card (no randomness)</t>
  </si>
  <si>
    <t xml:space="preserve">8x Open</t>
  </si>
  <si>
    <t xml:space="preserve">Lucky</t>
  </si>
  <si>
    <t xml:space="preserve">+1 Squad Slot</t>
  </si>
  <si>
    <t xml:space="preserve">VIP</t>
  </si>
  <si>
    <t xml:space="preserve">Concert Boost (whole server luck)</t>
  </si>
  <si>
    <t xml:space="preserve">Gifts to friends</t>
  </si>
  <si>
    <t xml:space="preserve">Comeback Pass (premium track)</t>
  </si>
  <si>
    <t xml:space="preserve">Pass tier skips</t>
  </si>
  <si>
    <t xml:space="preserve">Cosmetics (outfits, skins, emotes)</t>
  </si>
  <si>
    <t xml:space="preserve">Total (Robux products)</t>
  </si>
  <si>
    <t xml:space="preserve">Fan Club subscription (priced in real money)</t>
  </si>
  <si>
    <t xml:space="preserve">Price per month (USD)</t>
  </si>
  <si>
    <t xml:space="preserve">Chance one of them subscribes</t>
  </si>
  <si>
    <t xml:space="preserve">Months paid in the first 30 days</t>
  </si>
  <si>
    <t xml:space="preserve">Your share after app store and Roblox fees</t>
  </si>
  <si>
    <t xml:space="preserve">Placeholder. Roblox's Earn on Roblox page gives no subscription share; check Creator Hub.</t>
  </si>
  <si>
    <t xml:space="preserve">Subscribers in the cohort</t>
  </si>
  <si>
    <t xml:space="preserve">Your cash from subscriptions (USD)</t>
  </si>
  <si>
    <t xml:space="preserve">Results</t>
  </si>
  <si>
    <t xml:space="preserve">Your total revenue from this cohort (USD)</t>
  </si>
  <si>
    <t xml:space="preserve">Revenue per new player, first 30 days (USD)</t>
  </si>
  <si>
    <t xml:space="preserve">Revenue per player still playing on day 7 (USD)</t>
  </si>
  <si>
    <t xml:space="preserve">What players spent, in real money (USD)</t>
  </si>
  <si>
    <t xml:space="preserve">Includes the share Roblox, app stores and DevEx keep.</t>
  </si>
  <si>
    <t xml:space="preserve">Of every $1 players spend, you keep</t>
  </si>
  <si>
    <t xml:space="preserve">Chance a new player pays anything (upper bound)</t>
  </si>
  <si>
    <t xml:space="preserve">Assumes purchases are independent. The real payer share is lower because the same players buy several things.</t>
  </si>
  <si>
    <t xml:space="preserve">Subscription share of revenue</t>
  </si>
  <si>
    <t xml:space="preserve">Monthly projection (simple)</t>
  </si>
  <si>
    <t xml:space="preserve">New players per day</t>
  </si>
  <si>
    <t xml:space="preserve">Monthly revenue (USD)</t>
  </si>
  <si>
    <t xml:space="preserve">Counts only each player's first 30 days. The Growth tab models older players, friends, comebacks and Creator Rewards.</t>
  </si>
  <si>
    <t xml:space="preserve">Monthly revenue target (USD)</t>
  </si>
  <si>
    <t xml:space="preserve">New players per day needed to hit it</t>
  </si>
  <si>
    <t xml:space="preserve">Revenue per 1,000 new players (USD): day 1 retention vs. purchase odds</t>
  </si>
  <si>
    <t xml:space="preserve">Day 1 retention (down) / purchase odds x (across)</t>
  </si>
  <si>
    <t xml:space="preserve">Assumes day 7 and day 30 retention rise and fall in proportion to day 1.</t>
  </si>
  <si>
    <t xml:space="preserve">Helper for the grid</t>
  </si>
  <si>
    <t xml:space="preserve">Revenue from first-session offers (USD)</t>
  </si>
  <si>
    <t xml:space="preserve">Revenue from players who come back (USD)</t>
  </si>
  <si>
    <t xml:space="preserve">Growth: where players come from, who stays, what they are worth</t>
  </si>
  <si>
    <t xml:space="preserve">Weekly model of the first 26 weeks. Yellow cells are placeholders: replace them with Creator Analytics numbers.</t>
  </si>
  <si>
    <t xml:space="preserve">Where new players come from</t>
  </si>
  <si>
    <t xml:space="preserve">Organic new players in week 1 (Roblox recommendations and search)</t>
  </si>
  <si>
    <t xml:space="preserve">Organic growth per week</t>
  </si>
  <si>
    <t xml:space="preserve">Roblox recommendations reward 28-day retention, play days, co-play and spend days (DevForum, June 2026).</t>
  </si>
  <si>
    <t xml:space="preserve">New players from friend invites per week, per 100 average daily players</t>
  </si>
  <si>
    <t xml:space="preserve">Friend bonuses (luck per friend, gifting, co-op events) push this up.</t>
  </si>
  <si>
    <t xml:space="preserve">New players per week from off-Roblox content (TikTok, YouTube links)</t>
  </si>
  <si>
    <t xml:space="preserve">Direct links to your game page also earn Audience Expansion Rewards (below).</t>
  </si>
  <si>
    <t xml:space="preserve">Paid ads budget per week (USD)</t>
  </si>
  <si>
    <t xml:space="preserve">Cost per new player from ads (USD)</t>
  </si>
  <si>
    <t xml:space="preserve">Placeholder. Check your cost in Roblox Ads Manager.</t>
  </si>
  <si>
    <t xml:space="preserve">A comeback starts every (weeks)</t>
  </si>
  <si>
    <t xml:space="preserve">From the comeback length on Inputs.</t>
  </si>
  <si>
    <t xml:space="preserve">New players in a comeback week (x normal)</t>
  </si>
  <si>
    <t xml:space="preserve">Lapsed players who come back in a comeback week</t>
  </si>
  <si>
    <t xml:space="preserve">Days a returning player plays during that week</t>
  </si>
  <si>
    <t xml:space="preserve">Retention (from the Revenue tab)</t>
  </si>
  <si>
    <t xml:space="preserve">Curve steepness, days 1-7 (fitted)</t>
  </si>
  <si>
    <t xml:space="preserve">Curve steepness after day 7 (fitted)</t>
  </si>
  <si>
    <t xml:space="preserve">Retention follows a power curve through day 1, day 7 and day 30, then keeps the same slope after day 30.</t>
  </si>
  <si>
    <t xml:space="preserve">Player-days in a new player's first 30 days</t>
  </si>
  <si>
    <t xml:space="preserve">Money</t>
  </si>
  <si>
    <t xml:space="preserve">30-day revenue per new player (Revenue tab)</t>
  </si>
  <si>
    <t xml:space="preserve">Revenue per daily player per day (fitted)</t>
  </si>
  <si>
    <t xml:space="preserve">Spread so the first 30 days match the Revenue tab.</t>
  </si>
  <si>
    <t xml:space="preserve">Spending after the first month (x first-month rate)</t>
  </si>
  <si>
    <t xml:space="preserve">Players who stay often spend more; raise this once you see real data.</t>
  </si>
  <si>
    <t xml:space="preserve">Share of your players who are Roblox 'Active Spenders'</t>
  </si>
  <si>
    <t xml:space="preserve">Spent $9.99+ on Roblox in the last 60 days (Creator Rewards definition).</t>
  </si>
  <si>
    <t xml:space="preserve">Share of their play days that qualify</t>
  </si>
  <si>
    <t xml:space="preserve">10+ minutes in your game that day, and yours is among the first 3 games they launch.</t>
  </si>
  <si>
    <t xml:space="preserve">Robux per qualifying Active Spender day</t>
  </si>
  <si>
    <t xml:space="preserve">Creator Rewards, Daily Engagement Rewards (DevForum, July 2025). May change.</t>
  </si>
  <si>
    <t xml:space="preserve">Off-Roblox new players who are new to Roblox, or back after 60+ days</t>
  </si>
  <si>
    <t xml:space="preserve">Counts only if they arrive by a direct link or search your game by name, then play 10+ minutes.</t>
  </si>
  <si>
    <t xml:space="preserve">Their Robux purchases in their first two months (USD, counted up to $100)</t>
  </si>
  <si>
    <t xml:space="preserve">Average including the many who buy nothing.</t>
  </si>
  <si>
    <t xml:space="preserve">Audience Expansion revenue share</t>
  </si>
  <si>
    <t xml:space="preserve">Creator Rewards, Audience Expansion Rewards. Paid after a 60-day hold.</t>
  </si>
  <si>
    <t xml:space="preserve">Creator Rewards per daily player per day (USD)</t>
  </si>
  <si>
    <t xml:space="preserve">Average daily players in week 26</t>
  </si>
  <si>
    <t xml:space="preserve">Revenue over 26 weeks (USD, purchases + Creator Rewards)</t>
  </si>
  <si>
    <t xml:space="preserve">Value of one new player over 26 weeks (USD)</t>
  </si>
  <si>
    <t xml:space="preserve">Do ads pay back within 26 weeks?</t>
  </si>
  <si>
    <t xml:space="preserve">Revenue from Creator Rewards (share of total)</t>
  </si>
  <si>
    <t xml:space="preserve">Weeks since install</t>
  </si>
  <si>
    <t xml:space="preserve">Share playing on a typical day that week</t>
  </si>
  <si>
    <t xml:space="preserve">Install week: day 0 plus days 1-6 averaged.</t>
  </si>
  <si>
    <t xml:space="preserve">Week by week</t>
  </si>
  <si>
    <t xml:space="preserve">Week</t>
  </si>
  <si>
    <t xml:space="preserve">Comeback week?</t>
  </si>
  <si>
    <t xml:space="preserve">Organic</t>
  </si>
  <si>
    <t xml:space="preserve">Friend invites</t>
  </si>
  <si>
    <t xml:space="preserve">Off-Roblox content</t>
  </si>
  <si>
    <t xml:space="preserve">Paid ads</t>
  </si>
  <si>
    <t xml:space="preserve">New players</t>
  </si>
  <si>
    <t xml:space="preserve">Returning players</t>
  </si>
  <si>
    <t xml:space="preserve">Average daily players</t>
  </si>
  <si>
    <t xml:space="preserve">Purchase revenue (USD)</t>
  </si>
  <si>
    <t xml:space="preserve">Creator Rewards (USD)</t>
  </si>
  <si>
    <t xml:space="preserve">Ad spend (USD)</t>
  </si>
  <si>
    <t xml:space="preserve">Net (USD)</t>
  </si>
  <si>
    <t xml:space="preserve">Cumulative net (USD)</t>
  </si>
  <si>
    <t xml:space="preserve">Retention heat map: average daily players from each install week, by calendar week</t>
  </si>
  <si>
    <t xml:space="preserve">Install week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</si>
  <si>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</si>
  <si>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</si>
  <si>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</si>
  <si>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</si>
  <si>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</si>
  <si>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</si>
  <si>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</si>
  <si>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</si>
  <si>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</si>
  <si>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</si>
  <si>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</si>
  <si>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</si>
  <si>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</si>
  <si>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Wk 14</t>
  </si>
  <si>
    <t xml:space="preserve">Wk 15</t>
  </si>
  <si>
    <t xml:space="preserve">Wk 16</t>
  </si>
  <si>
    <t xml:space="preserve">Wk 17</t>
  </si>
  <si>
    <t xml:space="preserve">Wk 18</t>
  </si>
  <si>
    <t xml:space="preserve">Wk 19</t>
  </si>
  <si>
    <t xml:space="preserve">Wk 20</t>
  </si>
  <si>
    <t xml:space="preserve">Wk 21</t>
  </si>
  <si>
    <t xml:space="preserve">Wk 22</t>
  </si>
  <si>
    <t xml:space="preserve">Wk 23</t>
  </si>
  <si>
    <t xml:space="preserve">Wk 24</t>
  </si>
  <si>
    <t xml:space="preserve">Wk 25</t>
  </si>
  <si>
    <t xml:space="preserve">Wk 26</t>
  </si>
  <si>
    <t xml:space="preserve">Read across a row to see one install week fade; read down a column to see who your players are in that week. Comeback weeks show as brighter rows.</t>
  </si>
  <si>
    <t xml:space="preserve">Heat maps: when money comes in, and where play time goes</t>
  </si>
  <si>
    <t xml:space="preserve">Top: planned timing of each purchase (blue) turned into revenue by player age (heat). Bottom: planned share of play time by feature. Replace with tracked data after launch.</t>
  </si>
  <si>
    <t xml:space="preserve">When purchases happen (each row adds up to 100%)</t>
  </si>
  <si>
    <t xml:space="preserve">Your cash, first 30 days (USD)</t>
  </si>
  <si>
    <t xml:space="preserve">Day 0 (first session)</t>
  </si>
  <si>
    <t xml:space="preserve">Days 1-2</t>
  </si>
  <si>
    <t xml:space="preserve">Days 3-6</t>
  </si>
  <si>
    <t xml:space="preserve">Week 2</t>
  </si>
  <si>
    <t xml:space="preserve">Weeks 3-4</t>
  </si>
  <si>
    <t xml:space="preserve">Fan Club subscription</t>
  </si>
  <si>
    <t xml:space="preserve">Revenue heat map: your cash by product and player age (USD)</t>
  </si>
  <si>
    <t xml:space="preserve">Share of 30-day revenue</t>
  </si>
  <si>
    <t xml:space="preserve">If most money arrives in weeks 2-4, retention matters more than better first-session offers.</t>
  </si>
  <si>
    <t xml:space="preserve">Where play time goes as players age (planned share of play time, each column adds up to 100%)</t>
  </si>
  <si>
    <t xml:space="preserve">Feature</t>
  </si>
  <si>
    <t xml:space="preserve">Minutes 0-5</t>
  </si>
  <si>
    <t xml:space="preserve">Rest of first session</t>
  </si>
  <si>
    <t xml:space="preserve">Days 2-3</t>
  </si>
  <si>
    <t xml:space="preserve">Days 4-7</t>
  </si>
  <si>
    <t xml:space="preserve">Weeks 2-4</t>
  </si>
  <si>
    <t xml:space="preserve">Month 2+</t>
  </si>
  <si>
    <t xml:space="preserve">Streaming (clicking) and Fever</t>
  </si>
  <si>
    <t xml:space="preserve">Pack opening</t>
  </si>
  <si>
    <t xml:space="preserve">Boss fights and stages</t>
  </si>
  <si>
    <t xml:space="preserve">Binder and fusion</t>
  </si>
  <si>
    <t xml:space="preserve">Skill tree</t>
  </si>
  <si>
    <t xml:space="preserve">Daily quests and attendance</t>
  </si>
  <si>
    <t xml:space="preserve">Fandom war</t>
  </si>
  <si>
    <t xml:space="preserve">Comeback events</t>
  </si>
  <si>
    <t xml:space="preserve">Social hub and showcase stage</t>
  </si>
  <si>
    <t xml:space="preserve">Trading</t>
  </si>
  <si>
    <t xml:space="preserve">New Era rebirth</t>
  </si>
  <si>
    <t xml:space="preserve">Live concerts and Album Drop (co-op)</t>
  </si>
  <si>
    <t xml:space="preserve">Biggest share of play time</t>
  </si>
  <si>
    <t xml:space="preserve">Features with 10%+ of play time</t>
  </si>
  <si>
    <t xml:space="preserve">Rule of thumb for this plan: every stage should have a new feature climbing, and after the first session no single feature should take most of the time.</t>
  </si>
  <si>
    <t xml:space="preserve">Tracking plan: log these so the model and heat maps fill with real data</t>
  </si>
  <si>
    <t xml:space="preserve">All methods are on AnalyticsService (Roblox Creator Docs). Store each player's first-join date and send "days since first join" with every event.</t>
  </si>
  <si>
    <t xml:space="preserve">Event</t>
  </si>
  <si>
    <t xml:space="preserve">When to log it</t>
  </si>
  <si>
    <t xml:space="preserve">AnalyticsService method</t>
  </si>
  <si>
    <t xml:space="preserve">What to include</t>
  </si>
  <si>
    <t xml:space="preserve">What it tells you (tab)</t>
  </si>
  <si>
    <t xml:space="preserve">Onboarding steps</t>
  </si>
  <si>
    <t xml:space="preserve">Each first: joined, first click, first Fever, first pack, named group, first boss win, reached Busking Street, hit first wall</t>
  </si>
  <si>
    <t xml:space="preserve">LogOnboardingFunnelStepEvent</t>
  </si>
  <si>
    <t xml:space="preserve">step number and name</t>
  </si>
  <si>
    <t xml:space="preserve">Where new players quit; first-play bounce (Pacing)</t>
  </si>
  <si>
    <t xml:space="preserve">Zone reached</t>
  </si>
  <si>
    <t xml:space="preserve">Entering each zone</t>
  </si>
  <si>
    <t xml:space="preserve">LogProgressionCompleteEvent</t>
  </si>
  <si>
    <t xml:space="preserve">path "Zones", level = zone number, zone name</t>
  </si>
  <si>
    <t xml:space="preserve">Real arrival times vs. the model (Pacing)</t>
  </si>
  <si>
    <t xml:space="preserve">Boss attempts</t>
  </si>
  <si>
    <t xml:space="preserve">Start, fail and win of each boss</t>
  </si>
  <si>
    <t xml:space="preserve">LogProgressionStartEvent / FailEvent / CompleteEvent</t>
  </si>
  <si>
    <t xml:space="preserve">boss level and name</t>
  </si>
  <si>
    <t xml:space="preserve">Which walls stop players (Pacing)</t>
  </si>
  <si>
    <t xml:space="preserve">Gems earned and spent</t>
  </si>
  <si>
    <t xml:space="preserve">Every gem change</t>
  </si>
  <si>
    <t xml:space="preserve">LogEconomyEvent</t>
  </si>
  <si>
    <t xml:space="preserve">Source or Sink, "Gems", amount, ending balance, transaction type (Quest, Drop, Pack, Shop), item SKU</t>
  </si>
  <si>
    <t xml:space="preserve">Real free gems per day; days to pity (Gems)</t>
  </si>
  <si>
    <t xml:space="preserve">Hype earned and spent</t>
  </si>
  <si>
    <t xml:space="preserve">Batched once a minute, not per click</t>
  </si>
  <si>
    <t xml:space="preserve">Source or Sink, "Hype", amount, ending balance</t>
  </si>
  <si>
    <t xml:space="preserve">Real Hype per second (Pacing)</t>
  </si>
  <si>
    <t xml:space="preserve">Pack opened</t>
  </si>
  <si>
    <t xml:space="preserve">Every pull</t>
  </si>
  <si>
    <t xml:space="preserve">LogCustomEvent "PackOpened"</t>
  </si>
  <si>
    <t xml:space="preserve">rarity, version (Holo/Signed), pity count, boost on or off</t>
  </si>
  <si>
    <t xml:space="preserve">Real drop rates match the posted odds (Odds)</t>
  </si>
  <si>
    <t xml:space="preserve">Purchase</t>
  </si>
  <si>
    <t xml:space="preserve">After each successful Robux purchase</t>
  </si>
  <si>
    <t xml:space="preserve">LogCustomEvent "Purchase"</t>
  </si>
  <si>
    <t xml:space="preserve">value = Robux price; product, days since first join, zone</t>
  </si>
  <si>
    <t xml:space="preserve">Real revenue heat map by product and player age (Heat maps)</t>
  </si>
  <si>
    <t xml:space="preserve">Shop visit</t>
  </si>
  <si>
    <t xml:space="preserve">Open shop, view item, purchase prompt, bought</t>
  </si>
  <si>
    <t xml:space="preserve">LogFunnelStepEvent "Shop"</t>
  </si>
  <si>
    <t xml:space="preserve">one funnel session ID per visit, step</t>
  </si>
  <si>
    <t xml:space="preserve">Which offers convert and where buyers drop (Revenue)</t>
  </si>
  <si>
    <t xml:space="preserve">Feature time</t>
  </si>
  <si>
    <t xml:space="preserve">When a player leaves a feature (batched)</t>
  </si>
  <si>
    <t xml:space="preserve">LogCustomEvent "FeatureTime"</t>
  </si>
  <si>
    <t xml:space="preserve">value = seconds; feature name, days since first join</t>
  </si>
  <si>
    <t xml:space="preserve">Real play-time heat map (Heat maps)</t>
  </si>
  <si>
    <t xml:space="preserve">Playing with friends</t>
  </si>
  <si>
    <t xml:space="preserve">While a friend is in the same server</t>
  </si>
  <si>
    <t xml:space="preserve">LogCustomEvent "PlayWithFriend"</t>
  </si>
  <si>
    <t xml:space="preserve">value = minutes together</t>
  </si>
  <si>
    <t xml:space="preserve">Co-play, a discovery signal (Growth)</t>
  </si>
  <si>
    <t xml:space="preserve">Comeback return</t>
  </si>
  <si>
    <t xml:space="preserve">First join during a comeback</t>
  </si>
  <si>
    <t xml:space="preserve">LogCustomEvent "ComebackJoin"</t>
  </si>
  <si>
    <t xml:space="preserve">days since last visit</t>
  </si>
  <si>
    <t xml:space="preserve">How many lapsed players a comeback wins back (Growth)</t>
  </si>
  <si>
    <t xml:space="preserve">Session recap</t>
  </si>
  <si>
    <t xml:space="preserve">When the end-of-session recap shows</t>
  </si>
  <si>
    <t xml:space="preserve">LogCustomEvent "SessionRecap"</t>
  </si>
  <si>
    <t xml:space="preserve">value = session minutes</t>
  </si>
  <si>
    <t xml:space="preserve">Whether sessions end on a high, and next-day return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</si>
</sst>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0.0000"/>
    <numFmt numFmtId="166" formatCode="0.0%"/>
    <numFmt numFmtId="167" formatCode="#,##0;\(#,##0\);\-"/>
    <numFmt numFmtId="168" formatCode="#,##0.0;\(#,##0.0\);\-"/>
    <numFmt numFmtId="169" formatCode="0.0\x"/>
    <numFmt numFmtId="170" formatCode="0.00"/>
    <numFmt numFmtId="171" formatCode="0.0"/>
    <numFmt numFmtId="172" formatCode="#,##0.0"/>
    <numFmt numFmtId="173" formatCode="[&gt;=1000000000]#,##0.0,,,\B;[&gt;=1000000]#,##0.0,,\M;#,##0"/>
    <numFmt numFmtId="174" formatCode="&quot;Day &quot;0"/>
    <numFmt numFmtId="175" formatCode="0"/>
    <numFmt numFmtId="176" formatCode="0%"/>
    <numFmt numFmtId="177" formatCode="\$#,##0.00;&quot;($&quot;#,##0.00\);\-"/>
    <numFmt numFmtId="178" formatCode="0.00%"/>
    <numFmt numFmtId="179" formatCode="#,##0"/>
    <numFmt numFmtId="180" formatCode="0.0000%"/>
    <numFmt numFmtId="181" formatCode="\$#,##0"/>
    <numFmt numFmtId="182" formatCode="\$0.000"/>
    <numFmt numFmtId="183" formatCode="0.00\x"/>
    <numFmt numFmtId="184" formatCode="\$#,##0;&quot;($&quot;#,##0\);\-"/>
    <numFmt numFmtId="185" formatCode="0.000"/>
    <numFmt numFmtId="186" formatCode="#,##0;\-#,##0;&quot;&quot;"/>
    <numFmt numFmtId="187" formatCode="0%;\-0%;&quot;&quot;"/>
    <numFmt numFmtId="188" formatCode="\$#,##0.00;&quot;-$&quot;#,##0.00;&quot;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</row>
    <row r="5" customFormat="false" ht="15" hidden="false" customHeight="false" outlineLevel="0" collapsed="false">
      <c r="A5" s="3" t="s">
        <v>29</v>
      </c>
      <c r="B5" s="7" t="n">
        <v>0.0038</v>
      </c>
      <c r="C5" s="3" t="s">
        <v>30</v>
      </c>
      <c r="D5" s="5" t="s">
        <v>31</v>
      </c>
    </row>
    <row r="6" customFormat="false" ht="15" hidden="false" customHeight="false" outlineLevel="0" collapsed="false">
      <c r="A6" s="3" t="s">
        <v>32</v>
      </c>
      <c r="B6" s="8" t="n">
        <v>0.7</v>
      </c>
      <c r="C6" s="3" t="s">
        <v>33</v>
      </c>
      <c r="D6" s="5" t="s">
        <v>34</v>
      </c>
    </row>
    <row r="7" customFormat="false" ht="15" hidden="false" customHeight="false" outlineLevel="0" collapsed="false">
      <c r="A7" s="3" t="s">
        <v>35</v>
      </c>
      <c r="B7" s="9" t="n">
        <v>0.0125</v>
      </c>
      <c r="C7" s="3" t="s">
        <v>30</v>
      </c>
      <c r="D7" s="5" t="s">
        <v>36</v>
      </c>
    </row>
    <row r="8" customFormat="false" ht="15" hidden="false" customHeight="false" outlineLevel="0" collapsed="false">
      <c r="A8" s="3" t="s">
        <v>37</v>
      </c>
      <c r="B8" s="10" t="n">
        <v>100</v>
      </c>
      <c r="C8" s="3" t="s">
        <v>38</v>
      </c>
      <c r="D8" s="5" t="s">
        <v>39</v>
      </c>
    </row>
    <row r="9" customFormat="false" ht="15" hidden="false" customHeight="false" outlineLevel="0" collapsed="false">
      <c r="A9" s="3" t="s">
        <v>40</v>
      </c>
      <c r="B9" s="10" t="n">
        <v>60</v>
      </c>
      <c r="C9" s="3" t="s">
        <v>41</v>
      </c>
      <c r="D9" s="5" t="s">
        <v>39</v>
      </c>
    </row>
    <row r="10" customFormat="false" ht="15" hidden="false" customHeight="false" outlineLevel="0" collapsed="false">
      <c r="A10" s="3" t="s">
        <v>42</v>
      </c>
      <c r="B10" s="10" t="n">
        <v>21</v>
      </c>
      <c r="C10" s="3" t="s">
        <v>43</v>
      </c>
      <c r="D10" s="5" t="s">
        <v>39</v>
      </c>
    </row>
    <row r="11" customFormat="false" ht="15" hidden="false" customHeight="false" outlineLevel="0" collapsed="false">
      <c r="A11" s="3" t="s">
        <v>44</v>
      </c>
      <c r="B11" s="11" t="n">
        <v>45</v>
      </c>
      <c r="C11" s="3" t="s">
        <v>45</v>
      </c>
      <c r="D11" s="5" t="s">
        <v>46</v>
      </c>
    </row>
    <row r="12" customFormat="false" ht="15" hidden="false" customHeight="false" outlineLevel="0" collapsed="false">
      <c r="A12" s="3" t="s">
        <v>47</v>
      </c>
      <c r="B12" s="12" t="n">
        <v>0.15</v>
      </c>
      <c r="C12" s="3" t="s">
        <v>33</v>
      </c>
      <c r="D12" s="5" t="s">
        <v>48</v>
      </c>
    </row>
    <row r="13" customFormat="false" ht="15" hidden="false" customHeight="false" outlineLevel="0" collapsed="false">
      <c r="A13" s="3" t="s">
        <v>49</v>
      </c>
      <c r="B13" s="12" t="n">
        <v>0.3</v>
      </c>
      <c r="C13" s="3" t="s">
        <v>33</v>
      </c>
      <c r="D13" s="5" t="s">
        <v>50</v>
      </c>
    </row>
    <row r="15" customFormat="false" ht="15" hidden="false" customHeight="false" outlineLevel="0" collapsed="false">
      <c r="A15" s="2" t="s">
        <v>51</v>
      </c>
    </row>
    <row r="16" customFormat="false" ht="15" hidden="false" customHeight="false" outlineLevel="0" collapsed="false">
      <c r="A16" s="3" t="s">
        <v>52</v>
      </c>
      <c r="B16" s="13" t="n">
        <f aca="false">B6*B5/B7</f>
        <v>0.2128</v>
      </c>
      <c r="C16" s="3" t="s">
        <v>33</v>
      </c>
      <c r="D16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9" min="6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5"/>
  </cols>
  <sheetData>
    <row r="1" customFormat="false" ht="17.35" hidden="false" customHeight="false" outlineLevel="0" collapsed="false">
      <c r="A1" s="4" t="s">
        <v>54</v>
      </c>
    </row>
    <row r="2" customFormat="false" ht="15" hidden="false" customHeight="false" outlineLevel="0" collapsed="false">
      <c r="A2" s="5" t="s">
        <v>55</v>
      </c>
    </row>
    <row r="4" customFormat="false" ht="15" hidden="false" customHeight="false" outlineLevel="0" collapsed="false">
      <c r="A4" s="2" t="s">
        <v>56</v>
      </c>
    </row>
    <row r="5" customFormat="false" ht="15" hidden="false" customHeight="false" outlineLevel="0" collapsed="false">
      <c r="A5" s="3" t="s">
        <v>57</v>
      </c>
      <c r="B5" s="10" t="n">
        <v>1</v>
      </c>
      <c r="C5" s="5" t="s">
        <v>39</v>
      </c>
    </row>
    <row r="6" customFormat="false" ht="15" hidden="false" customHeight="false" outlineLevel="0" collapsed="false">
      <c r="A6" s="3" t="s">
        <v>58</v>
      </c>
      <c r="B6" s="14" t="n">
        <v>4</v>
      </c>
      <c r="C6" s="5" t="s">
        <v>59</v>
      </c>
    </row>
    <row r="7" customFormat="false" ht="15" hidden="false" customHeight="false" outlineLevel="0" collapsed="false">
      <c r="A7" s="3" t="s">
        <v>60</v>
      </c>
      <c r="B7" s="10" t="n">
        <v>12</v>
      </c>
      <c r="C7" s="5" t="s">
        <v>39</v>
      </c>
    </row>
    <row r="8" customFormat="false" ht="15" hidden="false" customHeight="false" outlineLevel="0" collapsed="false">
      <c r="A8" s="3" t="s">
        <v>61</v>
      </c>
      <c r="B8" s="8" t="n">
        <v>0.1</v>
      </c>
      <c r="C8" s="5" t="s">
        <v>62</v>
      </c>
    </row>
    <row r="9" customFormat="false" ht="15" hidden="false" customHeight="false" outlineLevel="0" collapsed="false">
      <c r="A9" s="3" t="s">
        <v>63</v>
      </c>
      <c r="B9" s="10" t="n">
        <v>1</v>
      </c>
      <c r="C9" s="5" t="s">
        <v>64</v>
      </c>
    </row>
    <row r="10" customFormat="false" ht="15" hidden="false" customHeight="false" outlineLevel="0" collapsed="false">
      <c r="A10" s="3" t="s">
        <v>65</v>
      </c>
      <c r="B10" s="10" t="n">
        <v>1</v>
      </c>
      <c r="C10" s="5" t="s">
        <v>64</v>
      </c>
    </row>
    <row r="11" customFormat="false" ht="15" hidden="false" customHeight="false" outlineLevel="0" collapsed="false">
      <c r="A11" s="3" t="s">
        <v>66</v>
      </c>
      <c r="B11" s="15" t="n">
        <v>1.25</v>
      </c>
      <c r="C11" s="5" t="s">
        <v>67</v>
      </c>
    </row>
    <row r="12" customFormat="false" ht="15" hidden="false" customHeight="false" outlineLevel="0" collapsed="false">
      <c r="A12" s="16" t="s">
        <v>68</v>
      </c>
      <c r="B12" s="17" t="n">
        <f aca="false">IF(B9=1,2,1)*IF(B10=1,B11,1)</f>
        <v>2.5</v>
      </c>
      <c r="C12" s="5" t="s">
        <v>69</v>
      </c>
    </row>
    <row r="14" customFormat="false" ht="42" hidden="false" customHeight="true" outlineLevel="0" collapsed="false">
      <c r="A14" s="6" t="s">
        <v>70</v>
      </c>
      <c r="B14" s="6" t="s">
        <v>71</v>
      </c>
      <c r="C14" s="6" t="s">
        <v>72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I14" s="6" t="s">
        <v>78</v>
      </c>
      <c r="J14" s="6" t="s">
        <v>79</v>
      </c>
      <c r="K14" s="6" t="s">
        <v>80</v>
      </c>
      <c r="L14" s="6" t="s">
        <v>81</v>
      </c>
      <c r="M14" s="6" t="s">
        <v>82</v>
      </c>
    </row>
    <row r="15" customFormat="false" ht="15" hidden="false" customHeight="false" outlineLevel="0" collapsed="false">
      <c r="A15" s="18" t="n">
        <v>1</v>
      </c>
      <c r="B15" s="19" t="s">
        <v>83</v>
      </c>
      <c r="C15" s="10" t="n">
        <v>1</v>
      </c>
      <c r="D15" s="20" t="n">
        <v>1.18</v>
      </c>
      <c r="E15" s="15" t="n">
        <v>1</v>
      </c>
      <c r="F15" s="21" t="n">
        <v>0</v>
      </c>
      <c r="G15" s="22" t="n">
        <f aca="false">E15</f>
        <v>1</v>
      </c>
      <c r="H15" s="23" t="n">
        <f aca="false">IF(A15=1,0,INDEX($E$53:$E$172,C15))</f>
        <v>0</v>
      </c>
      <c r="I15" s="24" t="n">
        <f aca="false">IF(A15=1,0,INDEX($I$53:$I$172,C15))</f>
        <v>0</v>
      </c>
      <c r="J15" s="25" t="n">
        <f aca="false">IF(A15=1,1,MAX(1,ROUNDUP(I15/Inputs!$B$11,0)))</f>
        <v>1</v>
      </c>
      <c r="K15" s="24" t="n">
        <f aca="false">IF(A15=1,0,INDEX($M$53:$M$172,C15))</f>
        <v>0</v>
      </c>
      <c r="L15" s="17" t="str">
        <f aca="false">IF(A15=1,"-",I15/K15)</f>
        <v>-</v>
      </c>
      <c r="M15" s="24" t="n">
        <f aca="false">IF(A15=1,0,INDEX($H$53:$H$172,C15)/60)</f>
        <v>0</v>
      </c>
    </row>
    <row r="16" customFormat="false" ht="15" hidden="false" customHeight="false" outlineLevel="0" collapsed="false">
      <c r="A16" s="18" t="n">
        <v>2</v>
      </c>
      <c r="B16" s="19" t="s">
        <v>84</v>
      </c>
      <c r="C16" s="10" t="n">
        <v>30</v>
      </c>
      <c r="D16" s="20" t="n">
        <v>1.24</v>
      </c>
      <c r="E16" s="15" t="n">
        <v>2</v>
      </c>
      <c r="F16" s="21" t="n">
        <v>2</v>
      </c>
      <c r="G16" s="22" t="n">
        <f aca="false">G15*E16</f>
        <v>2</v>
      </c>
      <c r="H16" s="23" t="n">
        <f aca="false">IF(A16=1,0,INDEX($E$53:$E$172,C16))</f>
        <v>3064.28483188216</v>
      </c>
      <c r="I16" s="24" t="n">
        <f aca="false">IF(A16=1,0,INDEX($I$53:$I$172,C16))</f>
        <v>5.78560094907757</v>
      </c>
      <c r="J16" s="25" t="n">
        <f aca="false">IF(A16=1,1,MAX(1,ROUNDUP(I16/Inputs!$B$11,0)))</f>
        <v>1</v>
      </c>
      <c r="K16" s="24" t="n">
        <f aca="false">IF(A16=1,0,INDEX($M$53:$M$172,C16))</f>
        <v>2.31424037963103</v>
      </c>
      <c r="L16" s="17" t="n">
        <f aca="false">IF(A16=1,"-",I16/K16)</f>
        <v>2.5</v>
      </c>
      <c r="M16" s="24" t="n">
        <f aca="false">IF(A16=1,0,INDEX($H$53:$H$172,C16)/60)</f>
        <v>1.20731689799792</v>
      </c>
    </row>
    <row r="17" customFormat="false" ht="15" hidden="false" customHeight="false" outlineLevel="0" collapsed="false">
      <c r="A17" s="18" t="n">
        <v>3</v>
      </c>
      <c r="B17" s="19" t="s">
        <v>85</v>
      </c>
      <c r="C17" s="10" t="n">
        <v>44</v>
      </c>
      <c r="D17" s="20" t="n">
        <v>1.3</v>
      </c>
      <c r="E17" s="15" t="n">
        <v>1.6</v>
      </c>
      <c r="F17" s="21" t="n">
        <v>6</v>
      </c>
      <c r="G17" s="22" t="n">
        <f aca="false">G16*E17</f>
        <v>3.2</v>
      </c>
      <c r="H17" s="23" t="n">
        <f aca="false">IF(A17=1,0,INDEX($E$53:$E$172,C17))</f>
        <v>195828.386481411</v>
      </c>
      <c r="I17" s="24" t="n">
        <f aca="false">IF(A17=1,0,INDEX($I$53:$I$172,C17))</f>
        <v>20.3640417839832</v>
      </c>
      <c r="J17" s="25" t="n">
        <f aca="false">IF(A17=1,1,MAX(1,ROUNDUP(I17/Inputs!$B$11,0)))</f>
        <v>1</v>
      </c>
      <c r="K17" s="24" t="n">
        <f aca="false">IF(A17=1,0,INDEX($M$53:$M$172,C17))</f>
        <v>8.14561671359329</v>
      </c>
      <c r="L17" s="17" t="n">
        <f aca="false">IF(A17=1,"-",I17/K17)</f>
        <v>2.5</v>
      </c>
      <c r="M17" s="24" t="n">
        <f aca="false">IF(A17=1,0,INDEX($H$53:$H$172,C17)/60)</f>
        <v>7.90124877552611</v>
      </c>
    </row>
    <row r="18" customFormat="false" ht="15" hidden="false" customHeight="false" outlineLevel="0" collapsed="false">
      <c r="A18" s="18" t="n">
        <v>4</v>
      </c>
      <c r="B18" s="19" t="s">
        <v>86</v>
      </c>
      <c r="C18" s="10" t="n">
        <v>52</v>
      </c>
      <c r="D18" s="20" t="n">
        <v>1.28</v>
      </c>
      <c r="E18" s="15" t="n">
        <v>1.6</v>
      </c>
      <c r="F18" s="21" t="n">
        <v>2</v>
      </c>
      <c r="G18" s="22" t="n">
        <f aca="false">G17*E18</f>
        <v>5.12</v>
      </c>
      <c r="H18" s="23" t="n">
        <f aca="false">IF(A18=1,0,INDEX($E$53:$E$172,C18))</f>
        <v>524285.475763687</v>
      </c>
      <c r="I18" s="24" t="n">
        <f aca="false">IF(A18=1,0,INDEX($I$53:$I$172,C18))</f>
        <v>38.4738720618899</v>
      </c>
      <c r="J18" s="25" t="n">
        <f aca="false">IF(A18=1,1,MAX(1,ROUNDUP(I18/Inputs!$B$11,0)))</f>
        <v>1</v>
      </c>
      <c r="K18" s="24" t="n">
        <f aca="false">IF(A18=1,0,INDEX($M$53:$M$172,C18))</f>
        <v>15.389548824756</v>
      </c>
      <c r="L18" s="17" t="n">
        <f aca="false">IF(A18=1,"-",I18/K18)</f>
        <v>2.5</v>
      </c>
      <c r="M18" s="24" t="n">
        <f aca="false">IF(A18=1,0,INDEX($H$53:$H$172,C18)/60)</f>
        <v>7.92995864771012</v>
      </c>
    </row>
    <row r="19" customFormat="false" ht="15" hidden="false" customHeight="false" outlineLevel="0" collapsed="false">
      <c r="A19" s="18" t="n">
        <v>5</v>
      </c>
      <c r="B19" s="19" t="s">
        <v>87</v>
      </c>
      <c r="C19" s="10" t="n">
        <v>62</v>
      </c>
      <c r="D19" s="20" t="n">
        <v>1.2</v>
      </c>
      <c r="E19" s="15" t="n">
        <v>1.6</v>
      </c>
      <c r="F19" s="21" t="n">
        <v>1.5</v>
      </c>
      <c r="G19" s="22" t="n">
        <f aca="false">G18*E19</f>
        <v>8.192</v>
      </c>
      <c r="H19" s="23" t="n">
        <f aca="false">IF(A19=1,0,INDEX($E$53:$E$172,C19))</f>
        <v>4352111.99683911</v>
      </c>
      <c r="I19" s="24" t="n">
        <f aca="false">IF(A19=1,0,INDEX($I$53:$I$172,C19))</f>
        <v>90.3040993257611</v>
      </c>
      <c r="J19" s="25" t="n">
        <f aca="false">IF(A19=1,1,MAX(1,ROUNDUP(I19/Inputs!$B$11,0)))</f>
        <v>3</v>
      </c>
      <c r="K19" s="24" t="n">
        <f aca="false">IF(A19=1,0,INDEX($M$53:$M$172,C19))</f>
        <v>36.1216397303044</v>
      </c>
      <c r="L19" s="17" t="n">
        <f aca="false">IF(A19=1,"-",I19/K19)</f>
        <v>2.5</v>
      </c>
      <c r="M19" s="24" t="n">
        <f aca="false">IF(A19=1,0,INDEX($H$53:$H$172,C19)/60)</f>
        <v>17.6243786656358</v>
      </c>
    </row>
    <row r="20" customFormat="false" ht="15" hidden="false" customHeight="false" outlineLevel="0" collapsed="false">
      <c r="A20" s="18" t="n">
        <v>6</v>
      </c>
      <c r="B20" s="19" t="s">
        <v>88</v>
      </c>
      <c r="C20" s="10" t="n">
        <v>74</v>
      </c>
      <c r="D20" s="20" t="n">
        <v>1.2</v>
      </c>
      <c r="E20" s="15" t="n">
        <v>1.6</v>
      </c>
      <c r="F20" s="21" t="n">
        <v>1.5</v>
      </c>
      <c r="G20" s="22" t="n">
        <f aca="false">G19*E20</f>
        <v>13.1072</v>
      </c>
      <c r="H20" s="23" t="n">
        <f aca="false">IF(A20=1,0,INDEX($E$53:$E$172,C20))</f>
        <v>38803867.7258774</v>
      </c>
      <c r="I20" s="24" t="n">
        <f aca="false">IF(A20=1,0,INDEX($I$53:$I$172,C20))</f>
        <v>206.416806511349</v>
      </c>
      <c r="J20" s="25" t="n">
        <f aca="false">IF(A20=1,1,MAX(1,ROUNDUP(I20/Inputs!$B$11,0)))</f>
        <v>5</v>
      </c>
      <c r="K20" s="24" t="n">
        <f aca="false">IF(A20=1,0,INDEX($M$53:$M$172,C20))</f>
        <v>82.5667226045394</v>
      </c>
      <c r="L20" s="17" t="n">
        <f aca="false">IF(A20=1,"-",I20/K20)</f>
        <v>2.5</v>
      </c>
      <c r="M20" s="24" t="n">
        <f aca="false">IF(A20=1,0,INDEX($H$53:$H$172,C20)/60)</f>
        <v>31.2936746634249</v>
      </c>
    </row>
    <row r="21" customFormat="false" ht="15" hidden="false" customHeight="false" outlineLevel="0" collapsed="false">
      <c r="A21" s="18" t="n">
        <v>7</v>
      </c>
      <c r="B21" s="19" t="s">
        <v>89</v>
      </c>
      <c r="C21" s="10" t="n">
        <v>86</v>
      </c>
      <c r="D21" s="20" t="n">
        <v>1.2</v>
      </c>
      <c r="E21" s="15" t="n">
        <v>1.6</v>
      </c>
      <c r="F21" s="21" t="n">
        <v>1.5</v>
      </c>
      <c r="G21" s="22" t="n">
        <f aca="false">G20*E21</f>
        <v>20.97152</v>
      </c>
      <c r="H21" s="23" t="n">
        <f aca="false">IF(A21=1,0,INDEX($E$53:$E$172,C21))</f>
        <v>345979182.424762</v>
      </c>
      <c r="I21" s="24" t="n">
        <f aca="false">IF(A21=1,0,INDEX($I$53:$I$172,C21))</f>
        <v>412.585395594158</v>
      </c>
      <c r="J21" s="25" t="n">
        <f aca="false">IF(A21=1,1,MAX(1,ROUNDUP(I21/Inputs!$B$11,0)))</f>
        <v>10</v>
      </c>
      <c r="K21" s="24" t="n">
        <f aca="false">IF(A21=1,0,INDEX($M$53:$M$172,C21))</f>
        <v>165.034158237663</v>
      </c>
      <c r="L21" s="17" t="n">
        <f aca="false">IF(A21=1,"-",I21/K21)</f>
        <v>2.5</v>
      </c>
      <c r="M21" s="24" t="n">
        <f aca="false">IF(A21=1,0,INDEX($H$53:$H$172,C21)/60)</f>
        <v>55.5647431616822</v>
      </c>
    </row>
    <row r="22" customFormat="false" ht="15" hidden="false" customHeight="false" outlineLevel="0" collapsed="false">
      <c r="A22" s="18" t="n">
        <v>8</v>
      </c>
      <c r="B22" s="19" t="s">
        <v>90</v>
      </c>
      <c r="C22" s="10" t="n">
        <v>98</v>
      </c>
      <c r="D22" s="20" t="n">
        <v>1.2</v>
      </c>
      <c r="E22" s="15" t="n">
        <v>1.6</v>
      </c>
      <c r="F22" s="21" t="n">
        <v>1.5</v>
      </c>
      <c r="G22" s="22" t="n">
        <f aca="false">G21*E22</f>
        <v>33.554432</v>
      </c>
      <c r="H22" s="23" t="n">
        <f aca="false">IF(A22=1,0,INDEX($E$53:$E$172,C22))</f>
        <v>3084785143.50467</v>
      </c>
      <c r="I22" s="24" t="n">
        <f aca="false">IF(A22=1,0,INDEX($I$53:$I$172,C22))</f>
        <v>778.65632921263</v>
      </c>
      <c r="J22" s="25" t="n">
        <f aca="false">IF(A22=1,1,MAX(1,ROUNDUP(I22/Inputs!$B$11,0)))</f>
        <v>18</v>
      </c>
      <c r="K22" s="24" t="n">
        <f aca="false">IF(A22=1,0,INDEX($M$53:$M$172,C22))</f>
        <v>311.462531685052</v>
      </c>
      <c r="L22" s="17" t="n">
        <f aca="false">IF(A22=1,"-",I22/K22)</f>
        <v>2.5</v>
      </c>
      <c r="M22" s="24" t="n">
        <f aca="false">IF(A22=1,0,INDEX($H$53:$H$172,C22)/60)</f>
        <v>98.6602153895405</v>
      </c>
    </row>
    <row r="23" customFormat="false" ht="15" hidden="false" customHeight="false" outlineLevel="0" collapsed="false">
      <c r="A23" s="18" t="n">
        <v>9</v>
      </c>
      <c r="B23" s="19" t="s">
        <v>91</v>
      </c>
      <c r="C23" s="10" t="n">
        <v>110</v>
      </c>
      <c r="D23" s="20" t="n">
        <v>1.2</v>
      </c>
      <c r="E23" s="15" t="n">
        <v>1.6</v>
      </c>
      <c r="F23" s="21" t="n">
        <v>1.5</v>
      </c>
      <c r="G23" s="22" t="n">
        <f aca="false">G22*E23</f>
        <v>53.6870912</v>
      </c>
      <c r="H23" s="23" t="n">
        <f aca="false">IF(A23=1,0,INDEX($E$53:$E$172,C23))</f>
        <v>27504254200.7754</v>
      </c>
      <c r="I23" s="24" t="n">
        <f aca="false">IF(A23=1,0,INDEX($I$53:$I$172,C23))</f>
        <v>1428.64830440374</v>
      </c>
      <c r="J23" s="25" t="n">
        <f aca="false">IF(A23=1,1,MAX(1,ROUNDUP(I23/Inputs!$B$11,0)))</f>
        <v>32</v>
      </c>
      <c r="K23" s="24" t="n">
        <f aca="false">IF(A23=1,0,INDEX($M$53:$M$172,C23))</f>
        <v>571.459321761497</v>
      </c>
      <c r="L23" s="17" t="n">
        <f aca="false">IF(A23=1,"-",I23/K23)</f>
        <v>2.5</v>
      </c>
      <c r="M23" s="24" t="n">
        <f aca="false">IF(A23=1,0,INDEX($H$53:$H$172,C23)/60)</f>
        <v>175.180115066617</v>
      </c>
    </row>
    <row r="24" customFormat="false" ht="15" hidden="false" customHeight="false" outlineLevel="0" collapsed="false">
      <c r="A24" s="5" t="s">
        <v>92</v>
      </c>
    </row>
    <row r="25" customFormat="false" ht="15" hidden="false" customHeight="false" outlineLevel="0" collapsed="false">
      <c r="A25" s="2" t="s">
        <v>93</v>
      </c>
    </row>
    <row r="26" customFormat="false" ht="42" hidden="false" customHeight="true" outlineLevel="0" collapsed="false">
      <c r="A26" s="6" t="s">
        <v>94</v>
      </c>
      <c r="B26" s="6" t="s">
        <v>95</v>
      </c>
      <c r="C26" s="6" t="s">
        <v>96</v>
      </c>
      <c r="D26" s="6" t="s">
        <v>97</v>
      </c>
      <c r="E26" s="6" t="s">
        <v>98</v>
      </c>
      <c r="F26" s="6" t="s">
        <v>99</v>
      </c>
      <c r="G26" s="6" t="s">
        <v>100</v>
      </c>
    </row>
    <row r="27" customFormat="false" ht="15" hidden="false" customHeight="false" outlineLevel="0" collapsed="false">
      <c r="A27" s="3" t="s">
        <v>101</v>
      </c>
      <c r="B27" s="10" t="n">
        <v>0</v>
      </c>
      <c r="C27" s="10" t="n">
        <v>1</v>
      </c>
      <c r="D27" s="10" t="n">
        <v>2</v>
      </c>
      <c r="E27" s="10" t="n">
        <v>8</v>
      </c>
      <c r="F27" s="24" t="n">
        <f aca="false">IFERROR(AVERAGEIFS($H$53:$H$172,$I$53:$I$172,"&gt;="&amp;B27,$I$53:$I$172,"&lt;"&amp;C27,$C$53:$C$172,0),"none")</f>
        <v>4.54455236564479</v>
      </c>
      <c r="G27" s="3" t="str">
        <f aca="false">IF(ISNUMBER(F27),IF(F27&lt;D27,"Too fast",IF(F27&gt;E27,"Too slow","OK")),"No upgrades here")</f>
        <v>OK</v>
      </c>
    </row>
    <row r="28" customFormat="false" ht="15" hidden="false" customHeight="false" outlineLevel="0" collapsed="false">
      <c r="A28" s="3" t="s">
        <v>102</v>
      </c>
      <c r="B28" s="10" t="n">
        <v>1</v>
      </c>
      <c r="C28" s="10" t="n">
        <v>5</v>
      </c>
      <c r="D28" s="10" t="n">
        <v>8</v>
      </c>
      <c r="E28" s="10" t="n">
        <v>30</v>
      </c>
      <c r="F28" s="24" t="n">
        <f aca="false">IFERROR(AVERAGEIFS($H$53:$H$172,$I$53:$I$172,"&gt;="&amp;B28,$I$53:$I$172,"&lt;"&amp;C28,$C$53:$C$172,0),"none")</f>
        <v>12.9507302751201</v>
      </c>
      <c r="G28" s="3" t="str">
        <f aca="false">IF(ISNUMBER(F28),IF(F28&lt;D28,"Too fast",IF(F28&gt;E28,"Too slow","OK")),"No upgrades here")</f>
        <v>OK</v>
      </c>
    </row>
    <row r="29" customFormat="false" ht="15" hidden="false" customHeight="false" outlineLevel="0" collapsed="false">
      <c r="A29" s="3" t="s">
        <v>103</v>
      </c>
      <c r="B29" s="10" t="n">
        <v>5</v>
      </c>
      <c r="C29" s="10" t="n">
        <v>15</v>
      </c>
      <c r="D29" s="10" t="n">
        <v>25</v>
      </c>
      <c r="E29" s="10" t="n">
        <v>90</v>
      </c>
      <c r="F29" s="24" t="n">
        <f aca="false">IFERROR(AVERAGEIFS($H$53:$H$172,$I$53:$I$172,"&gt;="&amp;B29,$I$53:$I$172,"&lt;"&amp;C29,$C$53:$C$172,0),"none")</f>
        <v>30.8178095048287</v>
      </c>
      <c r="G29" s="3" t="str">
        <f aca="false">IF(ISNUMBER(F29),IF(F29&lt;D29,"Too fast",IF(F29&gt;E29,"Too slow","OK")),"No upgrades here")</f>
        <v>OK</v>
      </c>
    </row>
    <row r="30" customFormat="false" ht="15" hidden="false" customHeight="false" outlineLevel="0" collapsed="false">
      <c r="A30" s="3" t="s">
        <v>104</v>
      </c>
      <c r="B30" s="10" t="n">
        <v>15</v>
      </c>
      <c r="C30" s="10" t="n">
        <v>30</v>
      </c>
      <c r="D30" s="10" t="n">
        <v>60</v>
      </c>
      <c r="E30" s="10" t="n">
        <v>180</v>
      </c>
      <c r="F30" s="24" t="n">
        <f aca="false">IFERROR(AVERAGEIFS($H$53:$H$172,$I$53:$I$172,"&gt;="&amp;B30,$I$53:$I$172,"&lt;"&amp;C30,$C$53:$C$172,0),"none")</f>
        <v>79.0826889257129</v>
      </c>
      <c r="G30" s="3" t="str">
        <f aca="false">IF(ISNUMBER(F30),IF(F30&lt;D30,"Too fast",IF(F30&gt;E30,"Too slow","OK")),"No upgrades here")</f>
        <v>OK</v>
      </c>
    </row>
    <row r="31" customFormat="false" ht="15" hidden="false" customHeight="false" outlineLevel="0" collapsed="false">
      <c r="A31" s="3" t="s">
        <v>105</v>
      </c>
      <c r="B31" s="10" t="n">
        <v>30</v>
      </c>
      <c r="C31" s="10" t="n">
        <v>60</v>
      </c>
      <c r="D31" s="10" t="n">
        <v>120</v>
      </c>
      <c r="E31" s="10" t="n">
        <v>300</v>
      </c>
      <c r="F31" s="24" t="n">
        <f aca="false">IFERROR(AVERAGEIFS($H$53:$H$172,$I$53:$I$172,"&gt;="&amp;B31,$I$53:$I$172,"&lt;"&amp;C31,$C$53:$C$172,0),"none")</f>
        <v>168.76381647316</v>
      </c>
      <c r="G31" s="3" t="str">
        <f aca="false">IF(ISNUMBER(F31),IF(F31&lt;D31,"Too fast",IF(F31&gt;E31,"Too slow","OK")),"No upgrades here")</f>
        <v>OK</v>
      </c>
    </row>
    <row r="32" customFormat="false" ht="15" hidden="false" customHeight="false" outlineLevel="0" collapsed="false">
      <c r="A32" s="3" t="s">
        <v>106</v>
      </c>
      <c r="B32" s="10" t="n">
        <v>60</v>
      </c>
      <c r="C32" s="26" t="n">
        <f aca="false">7*Inputs!$B$11</f>
        <v>315</v>
      </c>
      <c r="D32" s="10" t="n">
        <v>240</v>
      </c>
      <c r="E32" s="10" t="n">
        <v>600</v>
      </c>
      <c r="F32" s="24" t="n">
        <f aca="false">IFERROR(AVERAGEIFS($H$53:$H$172,$I$53:$I$172,"&gt;="&amp;B32,$I$53:$I$172,"&lt;"&amp;C32,$C$53:$C$172,0),"none")</f>
        <v>534.659866007822</v>
      </c>
      <c r="G32" s="3" t="str">
        <f aca="false">IF(ISNUMBER(F32),IF(F32&lt;D32,"Too fast",IF(F32&gt;E32,"Too slow","OK")),"No upgrades here")</f>
        <v>OK</v>
      </c>
    </row>
    <row r="33" customFormat="false" ht="15" hidden="false" customHeight="false" outlineLevel="0" collapsed="false">
      <c r="A33" s="3" t="s">
        <v>107</v>
      </c>
      <c r="B33" s="18" t="n">
        <f aca="false">C32</f>
        <v>315</v>
      </c>
      <c r="C33" s="26" t="n">
        <f aca="false">21*Inputs!$B$11</f>
        <v>945</v>
      </c>
      <c r="D33" s="10" t="n">
        <v>600</v>
      </c>
      <c r="E33" s="10" t="n">
        <v>1800</v>
      </c>
      <c r="F33" s="24" t="n">
        <f aca="false">IFERROR(AVERAGEIFS($H$53:$H$172,$I$53:$I$172,"&gt;="&amp;B33,$I$53:$I$172,"&lt;"&amp;C33,$C$53:$C$172,0),"none")</f>
        <v>1531.27742079333</v>
      </c>
      <c r="G33" s="3" t="str">
        <f aca="false">IF(ISNUMBER(F33),IF(F33&lt;D33,"Too fast",IF(F33&gt;E33,"Too slow","OK")),"No upgrades here")</f>
        <v>OK</v>
      </c>
    </row>
    <row r="34" customFormat="false" ht="15" hidden="false" customHeight="false" outlineLevel="0" collapsed="false">
      <c r="A34" s="5" t="s">
        <v>108</v>
      </c>
    </row>
    <row r="36" customFormat="false" ht="15" hidden="false" customHeight="false" outlineLevel="0" collapsed="false">
      <c r="A36" s="2" t="s">
        <v>109</v>
      </c>
    </row>
    <row r="37" customFormat="false" ht="42" hidden="false" customHeight="true" outlineLevel="0" collapsed="false">
      <c r="A37" s="6" t="s">
        <v>110</v>
      </c>
      <c r="B37" s="6" t="s">
        <v>111</v>
      </c>
      <c r="C37" s="6" t="s">
        <v>112</v>
      </c>
      <c r="D37" s="6" t="s">
        <v>113</v>
      </c>
      <c r="E37" s="6" t="s">
        <v>114</v>
      </c>
      <c r="F37" s="6" t="s">
        <v>115</v>
      </c>
      <c r="G37" s="6" t="s">
        <v>116</v>
      </c>
    </row>
    <row r="38" customFormat="false" ht="15" hidden="false" customHeight="false" outlineLevel="0" collapsed="false">
      <c r="A38" s="10" t="n">
        <v>1</v>
      </c>
      <c r="B38" s="25" t="n">
        <f aca="false">MAX(1,ROUNDUP(A38/Inputs!$B$11,0))</f>
        <v>1</v>
      </c>
      <c r="C38" s="18" t="n">
        <f aca="false">IFERROR(MATCH(A38,$I$53:$I$172,1),0)</f>
        <v>12</v>
      </c>
      <c r="D38" s="3" t="str">
        <f aca="false">INDEX($B$15:$B$23,IF(C38=0,1,INDEX($B$53:$B$172,C38)))</f>
        <v>Practice Room</v>
      </c>
      <c r="E38" s="24" t="n">
        <f aca="false">IF(C38&gt;=ROWS($H$53:$H$172),"-",INDEX($H$53:$H$172,C38+1))</f>
        <v>6.96615479183545</v>
      </c>
      <c r="F38" s="18" t="n">
        <f aca="false">IFERROR(MATCH(A38,$M$53:$M$172,1),0)</f>
        <v>21</v>
      </c>
      <c r="G38" s="3" t="str">
        <f aca="false">INDEX($B$15:$B$23,IF(F38=0,1,INDEX($B$53:$B$172,F38)))</f>
        <v>Practice Room</v>
      </c>
    </row>
    <row r="39" customFormat="false" ht="15" hidden="false" customHeight="false" outlineLevel="0" collapsed="false">
      <c r="A39" s="10" t="n">
        <v>5</v>
      </c>
      <c r="B39" s="25" t="n">
        <f aca="false">MAX(1,ROUNDUP(A39/Inputs!$B$11,0))</f>
        <v>1</v>
      </c>
      <c r="C39" s="18" t="n">
        <f aca="false">IFERROR(MATCH(A39,$I$53:$I$172,1),0)</f>
        <v>29</v>
      </c>
      <c r="D39" s="3" t="str">
        <f aca="false">INDEX($B$15:$B$23,IF(C39=0,1,INDEX($B$53:$B$172,C39)))</f>
        <v>Practice Room</v>
      </c>
      <c r="E39" s="24" t="n">
        <f aca="false">IF(C39&gt;=ROWS($H$53:$H$172),"-",INDEX($H$53:$H$172,C39+1))</f>
        <v>72.4390138798752</v>
      </c>
      <c r="F39" s="18" t="n">
        <f aca="false">IFERROR(MATCH(A39,$M$53:$M$172,1),0)</f>
        <v>43</v>
      </c>
      <c r="G39" s="3" t="str">
        <f aca="false">INDEX($B$15:$B$23,IF(F39=0,1,INDEX($B$53:$B$172,F39)))</f>
        <v>Busking Street</v>
      </c>
    </row>
    <row r="40" customFormat="false" ht="15" hidden="false" customHeight="false" outlineLevel="0" collapsed="false">
      <c r="A40" s="10" t="n">
        <v>10</v>
      </c>
      <c r="B40" s="25" t="n">
        <f aca="false">MAX(1,ROUNDUP(A40/Inputs!$B$11,0))</f>
        <v>1</v>
      </c>
      <c r="C40" s="18" t="n">
        <f aca="false">IFERROR(MATCH(A40,$I$53:$I$172,1),0)</f>
        <v>40</v>
      </c>
      <c r="D40" s="3" t="str">
        <f aca="false">INDEX($B$15:$B$23,IF(C40=0,1,INDEX($B$53:$B$172,C40)))</f>
        <v>Busking Street</v>
      </c>
      <c r="E40" s="24" t="n">
        <f aca="false">IF(C40&gt;=ROWS($H$53:$H$172),"-",INDEX($H$53:$H$172,C40+1))</f>
        <v>45.0962344065188</v>
      </c>
      <c r="F40" s="18" t="n">
        <f aca="false">IFERROR(MATCH(A40,$M$53:$M$172,1),0)</f>
        <v>48</v>
      </c>
      <c r="G40" s="3" t="str">
        <f aca="false">INDEX($B$15:$B$23,IF(F40=0,1,INDEX($B$53:$B$172,F40)))</f>
        <v>Showcase Hall</v>
      </c>
    </row>
    <row r="41" customFormat="false" ht="15" hidden="false" customHeight="false" outlineLevel="0" collapsed="false">
      <c r="A41" s="10" t="n">
        <v>15</v>
      </c>
      <c r="B41" s="25" t="n">
        <f aca="false">MAX(1,ROUNDUP(A41/Inputs!$B$11,0))</f>
        <v>1</v>
      </c>
      <c r="C41" s="18" t="n">
        <f aca="false">IFERROR(MATCH(A41,$I$53:$I$172,1),0)</f>
        <v>43</v>
      </c>
      <c r="D41" s="3" t="str">
        <f aca="false">INDEX($B$15:$B$23,IF(C41=0,1,INDEX($B$53:$B$172,C41)))</f>
        <v>Busking Street</v>
      </c>
      <c r="E41" s="24" t="n">
        <f aca="false">IF(C41&gt;=ROWS($H$53:$H$172),"-",INDEX($H$53:$H$172,C41+1))</f>
        <v>474.074926531567</v>
      </c>
      <c r="F41" s="18" t="n">
        <f aca="false">IFERROR(MATCH(A41,$M$53:$M$172,1),0)</f>
        <v>51</v>
      </c>
      <c r="G41" s="3" t="str">
        <f aca="false">INDEX($B$15:$B$23,IF(F41=0,1,INDEX($B$53:$B$172,F41)))</f>
        <v>Showcase Hall</v>
      </c>
    </row>
    <row r="42" customFormat="false" ht="15" hidden="false" customHeight="false" outlineLevel="0" collapsed="false">
      <c r="A42" s="10" t="n">
        <v>30</v>
      </c>
      <c r="B42" s="25" t="n">
        <f aca="false">MAX(1,ROUNDUP(A42/Inputs!$B$11,0))</f>
        <v>1</v>
      </c>
      <c r="C42" s="18" t="n">
        <f aca="false">IFERROR(MATCH(A42,$I$53:$I$172,1),0)</f>
        <v>50</v>
      </c>
      <c r="D42" s="3" t="str">
        <f aca="false">INDEX($B$15:$B$23,IF(C42=0,1,INDEX($B$53:$B$172,C42)))</f>
        <v>Showcase Hall</v>
      </c>
      <c r="E42" s="24" t="n">
        <f aca="false">IF(C42&gt;=ROWS($H$53:$H$172),"-",INDEX($H$53:$H$172,C42+1))</f>
        <v>136.296164257518</v>
      </c>
      <c r="F42" s="18" t="n">
        <f aca="false">IFERROR(MATCH(A42,$M$53:$M$172,1),0)</f>
        <v>61</v>
      </c>
      <c r="G42" s="3" t="str">
        <f aca="false">INDEX($B$15:$B$23,IF(F42=0,1,INDEX($B$53:$B$172,F42)))</f>
        <v>Music Show Stage</v>
      </c>
    </row>
    <row r="43" customFormat="false" ht="15" hidden="false" customHeight="false" outlineLevel="0" collapsed="false">
      <c r="A43" s="10" t="n">
        <v>45</v>
      </c>
      <c r="B43" s="25" t="n">
        <f aca="false">MAX(1,ROUNDUP(A43/Inputs!$B$11,0))</f>
        <v>1</v>
      </c>
      <c r="C43" s="18" t="n">
        <f aca="false">IFERROR(MATCH(A43,$I$53:$I$172,1),0)</f>
        <v>54</v>
      </c>
      <c r="D43" s="3" t="str">
        <f aca="false">INDEX($B$15:$B$23,IF(C43=0,1,INDEX($B$53:$B$172,C43)))</f>
        <v>Music Show Stage</v>
      </c>
      <c r="E43" s="24" t="n">
        <f aca="false">IF(C43&gt;=ROWS($H$53:$H$172),"-",INDEX($H$53:$H$172,C43+1))</f>
        <v>156.182650619483</v>
      </c>
      <c r="F43" s="18" t="n">
        <f aca="false">IFERROR(MATCH(A43,$M$53:$M$172,1),0)</f>
        <v>66</v>
      </c>
      <c r="G43" s="3" t="str">
        <f aca="false">INDEX($B$15:$B$23,IF(F43=0,1,INDEX($B$53:$B$172,F43)))</f>
        <v>Fan Meeting Hall</v>
      </c>
    </row>
    <row r="44" customFormat="false" ht="15" hidden="false" customHeight="false" outlineLevel="0" collapsed="false">
      <c r="A44" s="10" t="n">
        <v>90</v>
      </c>
      <c r="B44" s="25" t="n">
        <f aca="false">MAX(1,ROUNDUP(A44/Inputs!$B$11,0))</f>
        <v>2</v>
      </c>
      <c r="C44" s="18" t="n">
        <f aca="false">IFERROR(MATCH(A44,$I$53:$I$172,1),0)</f>
        <v>61</v>
      </c>
      <c r="D44" s="3" t="str">
        <f aca="false">INDEX($B$15:$B$23,IF(C44=0,1,INDEX($B$53:$B$172,C44)))</f>
        <v>Music Show Stage</v>
      </c>
      <c r="E44" s="24" t="n">
        <f aca="false">IF(C44&gt;=ROWS($H$53:$H$172),"-",INDEX($H$53:$H$172,C44+1))</f>
        <v>1057.46271993815</v>
      </c>
      <c r="F44" s="18" t="n">
        <f aca="false">IFERROR(MATCH(A44,$M$53:$M$172,1),0)</f>
        <v>76</v>
      </c>
      <c r="G44" s="3" t="str">
        <f aca="false">INDEX($B$15:$B$23,IF(F44=0,1,INDEX($B$53:$B$172,F44)))</f>
        <v>Concert Hall</v>
      </c>
    </row>
    <row r="45" customFormat="false" ht="15" hidden="false" customHeight="false" outlineLevel="0" collapsed="false">
      <c r="A45" s="10" t="n">
        <v>135</v>
      </c>
      <c r="B45" s="25" t="n">
        <f aca="false">MAX(1,ROUNDUP(A45/Inputs!$B$11,0))</f>
        <v>3</v>
      </c>
      <c r="C45" s="18" t="n">
        <f aca="false">IFERROR(MATCH(A45,$I$53:$I$172,1),0)</f>
        <v>69</v>
      </c>
      <c r="D45" s="3" t="str">
        <f aca="false">INDEX($B$15:$B$23,IF(C45=0,1,INDEX($B$53:$B$172,C45)))</f>
        <v>Fan Meeting Hall</v>
      </c>
      <c r="E45" s="24" t="n">
        <f aca="false">IF(C45&gt;=ROWS($H$53:$H$172),"-",INDEX($H$53:$H$172,C45+1))</f>
        <v>530.290151327783</v>
      </c>
      <c r="F45" s="18" t="n">
        <f aca="false">IFERROR(MATCH(A45,$M$53:$M$172,1),0)</f>
        <v>84</v>
      </c>
      <c r="G45" s="3" t="str">
        <f aca="false">INDEX($B$15:$B$23,IF(F45=0,1,INDEX($B$53:$B$172,F45)))</f>
        <v>Concert Hall</v>
      </c>
    </row>
    <row r="46" customFormat="false" ht="15" hidden="false" customHeight="false" outlineLevel="0" collapsed="false">
      <c r="A46" s="10" t="n">
        <v>225</v>
      </c>
      <c r="B46" s="25" t="n">
        <f aca="false">MAX(1,ROUNDUP(A46/Inputs!$B$11,0))</f>
        <v>5</v>
      </c>
      <c r="C46" s="18" t="n">
        <f aca="false">IFERROR(MATCH(A46,$I$53:$I$172,1),0)</f>
        <v>76</v>
      </c>
      <c r="D46" s="3" t="str">
        <f aca="false">INDEX($B$15:$B$23,IF(C46=0,1,INDEX($B$53:$B$172,C46)))</f>
        <v>Concert Hall</v>
      </c>
      <c r="E46" s="24" t="n">
        <f aca="false">IF(C46&gt;=ROWS($H$53:$H$172),"-",INDEX($H$53:$H$172,C46+1))</f>
        <v>609.415512604038</v>
      </c>
      <c r="F46" s="18" t="n">
        <f aca="false">IFERROR(MATCH(A46,$M$53:$M$172,1),0)</f>
        <v>93</v>
      </c>
      <c r="G46" s="3" t="str">
        <f aca="false">INDEX($B$15:$B$23,IF(F46=0,1,INDEX($B$53:$B$172,F46)))</f>
        <v>Arena</v>
      </c>
    </row>
    <row r="47" customFormat="false" ht="15" hidden="false" customHeight="false" outlineLevel="0" collapsed="false">
      <c r="A47" s="10" t="n">
        <v>315</v>
      </c>
      <c r="B47" s="25" t="n">
        <f aca="false">MAX(1,ROUNDUP(A47/Inputs!$B$11,0))</f>
        <v>7</v>
      </c>
      <c r="C47" s="18" t="n">
        <f aca="false">IFERROR(MATCH(A47,$I$53:$I$172,1),0)</f>
        <v>82</v>
      </c>
      <c r="D47" s="3" t="str">
        <f aca="false">INDEX($B$15:$B$23,IF(C47=0,1,INDEX($B$53:$B$172,C47)))</f>
        <v>Concert Hall</v>
      </c>
      <c r="E47" s="24" t="n">
        <f aca="false">IF(C47&gt;=ROWS($H$53:$H$172),"-",INDEX($H$53:$H$172,C47+1))</f>
        <v>1027.17601594721</v>
      </c>
      <c r="F47" s="18" t="n">
        <f aca="false">IFERROR(MATCH(A47,$M$53:$M$172,1),0)</f>
        <v>98</v>
      </c>
      <c r="G47" s="3" t="str">
        <f aca="false">INDEX($B$15:$B$23,IF(F47=0,1,INDEX($B$53:$B$172,F47)))</f>
        <v>Stadium</v>
      </c>
    </row>
    <row r="48" customFormat="false" ht="15" hidden="false" customHeight="false" outlineLevel="0" collapsed="false">
      <c r="A48" s="10" t="n">
        <v>630</v>
      </c>
      <c r="B48" s="25" t="n">
        <f aca="false">MAX(1,ROUNDUP(A48/Inputs!$B$11,0))</f>
        <v>14</v>
      </c>
      <c r="C48" s="18" t="n">
        <f aca="false">IFERROR(MATCH(A48,$I$53:$I$172,1),0)</f>
        <v>95</v>
      </c>
      <c r="D48" s="3" t="str">
        <f aca="false">INDEX($B$15:$B$23,IF(C48=0,1,INDEX($B$53:$B$172,C48)))</f>
        <v>Arena</v>
      </c>
      <c r="E48" s="24" t="n">
        <f aca="false">IF(C48&gt;=ROWS($H$53:$H$172),"-",INDEX($H$53:$H$172,C48+1))</f>
        <v>1989.6476770224</v>
      </c>
      <c r="F48" s="18" t="n">
        <f aca="false">IFERROR(MATCH(A48,$M$53:$M$172,1),0)</f>
        <v>112</v>
      </c>
      <c r="G48" s="3" t="str">
        <f aca="false">INDEX($B$15:$B$23,IF(F48=0,1,INDEX($B$53:$B$172,F48)))</f>
        <v>World Tour</v>
      </c>
    </row>
    <row r="49" customFormat="false" ht="15" hidden="false" customHeight="false" outlineLevel="0" collapsed="false">
      <c r="A49" s="10" t="n">
        <v>945</v>
      </c>
      <c r="B49" s="25" t="n">
        <f aca="false">MAX(1,ROUNDUP(A49/Inputs!$B$11,0))</f>
        <v>21</v>
      </c>
      <c r="C49" s="18" t="n">
        <f aca="false">IFERROR(MATCH(A49,$I$53:$I$172,1),0)</f>
        <v>103</v>
      </c>
      <c r="D49" s="3" t="str">
        <f aca="false">INDEX($B$15:$B$23,IF(C49=0,1,INDEX($B$53:$B$172,C49)))</f>
        <v>Stadium</v>
      </c>
      <c r="E49" s="24" t="n">
        <f aca="false">IF(C49&gt;=ROWS($H$53:$H$172),"-",INDEX($H$53:$H$172,C49+1))</f>
        <v>2494.3918774718</v>
      </c>
      <c r="F49" s="18" t="n">
        <f aca="false">IFERROR(MATCH(A49,$M$53:$M$172,1),0)</f>
        <v>120</v>
      </c>
      <c r="G49" s="3" t="str">
        <f aca="false">INDEX($B$15:$B$23,IF(F49=0,1,INDEX($B$53:$B$172,F49)))</f>
        <v>World Tour</v>
      </c>
    </row>
    <row r="51" customFormat="false" ht="15" hidden="false" customHeight="false" outlineLevel="0" collapsed="false">
      <c r="A51" s="2" t="s">
        <v>117</v>
      </c>
    </row>
    <row r="52" customFormat="false" ht="42" hidden="false" customHeight="true" outlineLevel="0" collapsed="false">
      <c r="A52" s="6" t="s">
        <v>118</v>
      </c>
      <c r="B52" s="6" t="s">
        <v>70</v>
      </c>
      <c r="C52" s="6" t="s">
        <v>119</v>
      </c>
      <c r="D52" s="6" t="s">
        <v>120</v>
      </c>
      <c r="E52" s="6" t="s">
        <v>77</v>
      </c>
      <c r="F52" s="6" t="s">
        <v>121</v>
      </c>
      <c r="G52" s="6" t="s">
        <v>122</v>
      </c>
      <c r="H52" s="6" t="s">
        <v>123</v>
      </c>
      <c r="I52" s="6" t="s">
        <v>124</v>
      </c>
      <c r="J52" s="6" t="s">
        <v>94</v>
      </c>
      <c r="K52" s="6" t="s">
        <v>125</v>
      </c>
      <c r="L52" s="6" t="s">
        <v>126</v>
      </c>
      <c r="M52" s="6" t="s">
        <v>127</v>
      </c>
    </row>
    <row r="53" customFormat="false" ht="15" hidden="false" customHeight="false" outlineLevel="0" collapsed="false">
      <c r="A53" s="18" t="n">
        <v>1</v>
      </c>
      <c r="B53" s="18" t="n">
        <f aca="false">MATCH(A53,$C$15:$C$23,1)</f>
        <v>1</v>
      </c>
      <c r="C53" s="27" t="n">
        <f aca="false">IF(AND(B53&gt;1,A53=INDEX($C$15:$C$23,B53)),1,0)</f>
        <v>0</v>
      </c>
      <c r="D53" s="23" t="n">
        <f aca="false">$B$7</f>
        <v>12</v>
      </c>
      <c r="E53" s="23" t="n">
        <f aca="false">C53*INDEX($F$15:$F$23,B53)*D53</f>
        <v>0</v>
      </c>
      <c r="F53" s="18" t="n">
        <f aca="false">B53</f>
        <v>1</v>
      </c>
      <c r="G53" s="23" t="n">
        <f aca="false">$B$5*$B$6*(1+$B$8)^(A53-1)*INDEX($G$15:$G$23,F53)</f>
        <v>4</v>
      </c>
      <c r="H53" s="24" t="n">
        <f aca="false">(D53+E53)/G53</f>
        <v>3</v>
      </c>
      <c r="I53" s="24" t="n">
        <f aca="false">H53/60</f>
        <v>0.05</v>
      </c>
      <c r="J53" s="3" t="str">
        <f aca="false">IF(I53&gt;=$C$33,"Later",INDEX($A$27:$A$33,MATCH(I53,$B$27:$B$33,1)))</f>
        <v>First minute</v>
      </c>
      <c r="K53" s="23" t="n">
        <f aca="false">G53*$B$12</f>
        <v>10</v>
      </c>
      <c r="L53" s="24" t="n">
        <f aca="false">(D53+E53)/K53</f>
        <v>1.2</v>
      </c>
      <c r="M53" s="24" t="n">
        <f aca="false">L53/60</f>
        <v>0.02</v>
      </c>
    </row>
    <row r="54" customFormat="false" ht="15" hidden="false" customHeight="false" outlineLevel="0" collapsed="false">
      <c r="A54" s="18" t="n">
        <v>2</v>
      </c>
      <c r="B54" s="18" t="n">
        <f aca="false">MATCH(A54,$C$15:$C$23,1)</f>
        <v>1</v>
      </c>
      <c r="C54" s="27" t="n">
        <f aca="false">IF(AND(B54&gt;1,A54=INDEX($C$15:$C$23,B54)),1,0)</f>
        <v>0</v>
      </c>
      <c r="D54" s="23" t="n">
        <f aca="false">D53*INDEX($D$15:$D$23,B54)</f>
        <v>14.16</v>
      </c>
      <c r="E54" s="23" t="n">
        <f aca="false">C54*INDEX($F$15:$F$23,B54)*D54</f>
        <v>0</v>
      </c>
      <c r="F54" s="18" t="n">
        <f aca="false">B53</f>
        <v>1</v>
      </c>
      <c r="G54" s="23" t="n">
        <f aca="false">$B$5*$B$6*(1+$B$8)^(A54-1)*INDEX($G$15:$G$23,F54)</f>
        <v>4.4</v>
      </c>
      <c r="H54" s="24" t="n">
        <f aca="false">(D54+E54)/G54</f>
        <v>3.21818181818182</v>
      </c>
      <c r="I54" s="24" t="n">
        <f aca="false">I53+H54/60</f>
        <v>0.103636363636364</v>
      </c>
      <c r="J54" s="3" t="str">
        <f aca="false">IF(I54&gt;=$C$33,"Later",INDEX($A$27:$A$33,MATCH(I54,$B$27:$B$33,1)))</f>
        <v>First minute</v>
      </c>
      <c r="K54" s="23" t="n">
        <f aca="false">G54*$B$12</f>
        <v>11</v>
      </c>
      <c r="L54" s="24" t="n">
        <f aca="false">(D54+E54)/K54</f>
        <v>1.28727272727273</v>
      </c>
      <c r="M54" s="24" t="n">
        <f aca="false">M53+L54/60</f>
        <v>0.0414545454545455</v>
      </c>
    </row>
    <row r="55" customFormat="false" ht="15" hidden="false" customHeight="false" outlineLevel="0" collapsed="false">
      <c r="A55" s="18" t="n">
        <v>3</v>
      </c>
      <c r="B55" s="18" t="n">
        <f aca="false">MATCH(A55,$C$15:$C$23,1)</f>
        <v>1</v>
      </c>
      <c r="C55" s="27" t="n">
        <f aca="false">IF(AND(B55&gt;1,A55=INDEX($C$15:$C$23,B55)),1,0)</f>
        <v>0</v>
      </c>
      <c r="D55" s="23" t="n">
        <f aca="false">D54*INDEX($D$15:$D$23,B55)</f>
        <v>16.7088</v>
      </c>
      <c r="E55" s="23" t="n">
        <f aca="false">C55*INDEX($F$15:$F$23,B55)*D55</f>
        <v>0</v>
      </c>
      <c r="F55" s="18" t="n">
        <f aca="false">B54</f>
        <v>1</v>
      </c>
      <c r="G55" s="23" t="n">
        <f aca="false">$B$5*$B$6*(1+$B$8)^(A55-1)*INDEX($G$15:$G$23,F55)</f>
        <v>4.84</v>
      </c>
      <c r="H55" s="24" t="n">
        <f aca="false">(D55+E55)/G55</f>
        <v>3.45223140495868</v>
      </c>
      <c r="I55" s="24" t="n">
        <f aca="false">I54+H55/60</f>
        <v>0.161173553719008</v>
      </c>
      <c r="J55" s="3" t="str">
        <f aca="false">IF(I55&gt;=$C$33,"Later",INDEX($A$27:$A$33,MATCH(I55,$B$27:$B$33,1)))</f>
        <v>First minute</v>
      </c>
      <c r="K55" s="23" t="n">
        <f aca="false">G55*$B$12</f>
        <v>12.1</v>
      </c>
      <c r="L55" s="24" t="n">
        <f aca="false">(D55+E55)/K55</f>
        <v>1.38089256198347</v>
      </c>
      <c r="M55" s="24" t="n">
        <f aca="false">M54+L55/60</f>
        <v>0.0644694214876033</v>
      </c>
    </row>
    <row r="56" customFormat="false" ht="15" hidden="false" customHeight="false" outlineLevel="0" collapsed="false">
      <c r="A56" s="18" t="n">
        <v>4</v>
      </c>
      <c r="B56" s="18" t="n">
        <f aca="false">MATCH(A56,$C$15:$C$23,1)</f>
        <v>1</v>
      </c>
      <c r="C56" s="27" t="n">
        <f aca="false">IF(AND(B56&gt;1,A56=INDEX($C$15:$C$23,B56)),1,0)</f>
        <v>0</v>
      </c>
      <c r="D56" s="23" t="n">
        <f aca="false">D55*INDEX($D$15:$D$23,B56)</f>
        <v>19.716384</v>
      </c>
      <c r="E56" s="23" t="n">
        <f aca="false">C56*INDEX($F$15:$F$23,B56)*D56</f>
        <v>0</v>
      </c>
      <c r="F56" s="18" t="n">
        <f aca="false">B55</f>
        <v>1</v>
      </c>
      <c r="G56" s="23" t="n">
        <f aca="false">$B$5*$B$6*(1+$B$8)^(A56-1)*INDEX($G$15:$G$23,F56)</f>
        <v>5.324</v>
      </c>
      <c r="H56" s="24" t="n">
        <f aca="false">(D56+E56)/G56</f>
        <v>3.70330277986476</v>
      </c>
      <c r="I56" s="24" t="n">
        <f aca="false">I55+H56/60</f>
        <v>0.222895266716754</v>
      </c>
      <c r="J56" s="3" t="str">
        <f aca="false">IF(I56&gt;=$C$33,"Later",INDEX($A$27:$A$33,MATCH(I56,$B$27:$B$33,1)))</f>
        <v>First minute</v>
      </c>
      <c r="K56" s="23" t="n">
        <f aca="false">G56*$B$12</f>
        <v>13.31</v>
      </c>
      <c r="L56" s="24" t="n">
        <f aca="false">(D56+E56)/K56</f>
        <v>1.4813211119459</v>
      </c>
      <c r="M56" s="24" t="n">
        <f aca="false">M55+L56/60</f>
        <v>0.0891581066867017</v>
      </c>
    </row>
    <row r="57" customFormat="false" ht="15" hidden="false" customHeight="false" outlineLevel="0" collapsed="false">
      <c r="A57" s="18" t="n">
        <v>5</v>
      </c>
      <c r="B57" s="18" t="n">
        <f aca="false">MATCH(A57,$C$15:$C$23,1)</f>
        <v>1</v>
      </c>
      <c r="C57" s="27" t="n">
        <f aca="false">IF(AND(B57&gt;1,A57=INDEX($C$15:$C$23,B57)),1,0)</f>
        <v>0</v>
      </c>
      <c r="D57" s="23" t="n">
        <f aca="false">D56*INDEX($D$15:$D$23,B57)</f>
        <v>23.26533312</v>
      </c>
      <c r="E57" s="23" t="n">
        <f aca="false">C57*INDEX($F$15:$F$23,B57)*D57</f>
        <v>0</v>
      </c>
      <c r="F57" s="18" t="n">
        <f aca="false">B56</f>
        <v>1</v>
      </c>
      <c r="G57" s="23" t="n">
        <f aca="false">$B$5*$B$6*(1+$B$8)^(A57-1)*INDEX($G$15:$G$23,F57)</f>
        <v>5.8564</v>
      </c>
      <c r="H57" s="24" t="n">
        <f aca="false">(D57+E57)/G57</f>
        <v>3.97263389112765</v>
      </c>
      <c r="I57" s="24" t="n">
        <f aca="false">I56+H57/60</f>
        <v>0.289105831568882</v>
      </c>
      <c r="J57" s="3" t="str">
        <f aca="false">IF(I57&gt;=$C$33,"Later",INDEX($A$27:$A$33,MATCH(I57,$B$27:$B$33,1)))</f>
        <v>First minute</v>
      </c>
      <c r="K57" s="23" t="n">
        <f aca="false">G57*$B$12</f>
        <v>14.641</v>
      </c>
      <c r="L57" s="24" t="n">
        <f aca="false">(D57+E57)/K57</f>
        <v>1.58905355645106</v>
      </c>
      <c r="M57" s="24" t="n">
        <f aca="false">M56+L57/60</f>
        <v>0.115642332627553</v>
      </c>
    </row>
    <row r="58" customFormat="false" ht="15" hidden="false" customHeight="false" outlineLevel="0" collapsed="false">
      <c r="A58" s="18" t="n">
        <v>6</v>
      </c>
      <c r="B58" s="18" t="n">
        <f aca="false">MATCH(A58,$C$15:$C$23,1)</f>
        <v>1</v>
      </c>
      <c r="C58" s="27" t="n">
        <f aca="false">IF(AND(B58&gt;1,A58=INDEX($C$15:$C$23,B58)),1,0)</f>
        <v>0</v>
      </c>
      <c r="D58" s="23" t="n">
        <f aca="false">D57*INDEX($D$15:$D$23,B58)</f>
        <v>27.4530930816</v>
      </c>
      <c r="E58" s="23" t="n">
        <f aca="false">C58*INDEX($F$15:$F$23,B58)*D58</f>
        <v>0</v>
      </c>
      <c r="F58" s="18" t="n">
        <f aca="false">B57</f>
        <v>1</v>
      </c>
      <c r="G58" s="23" t="n">
        <f aca="false">$B$5*$B$6*(1+$B$8)^(A58-1)*INDEX($G$15:$G$23,F58)</f>
        <v>6.44204</v>
      </c>
      <c r="H58" s="24" t="n">
        <f aca="false">(D58+E58)/G58</f>
        <v>4.2615527195733</v>
      </c>
      <c r="I58" s="24" t="n">
        <f aca="false">I57+H58/60</f>
        <v>0.360131710228437</v>
      </c>
      <c r="J58" s="3" t="str">
        <f aca="false">IF(I58&gt;=$C$33,"Later",INDEX($A$27:$A$33,MATCH(I58,$B$27:$B$33,1)))</f>
        <v>First minute</v>
      </c>
      <c r="K58" s="23" t="n">
        <f aca="false">G58*$B$12</f>
        <v>16.1051</v>
      </c>
      <c r="L58" s="24" t="n">
        <f aca="false">(D58+E58)/K58</f>
        <v>1.70462108782932</v>
      </c>
      <c r="M58" s="24" t="n">
        <f aca="false">M57+L58/60</f>
        <v>0.144052684091375</v>
      </c>
    </row>
    <row r="59" customFormat="false" ht="15" hidden="false" customHeight="false" outlineLevel="0" collapsed="false">
      <c r="A59" s="18" t="n">
        <v>7</v>
      </c>
      <c r="B59" s="18" t="n">
        <f aca="false">MATCH(A59,$C$15:$C$23,1)</f>
        <v>1</v>
      </c>
      <c r="C59" s="27" t="n">
        <f aca="false">IF(AND(B59&gt;1,A59=INDEX($C$15:$C$23,B59)),1,0)</f>
        <v>0</v>
      </c>
      <c r="D59" s="23" t="n">
        <f aca="false">D58*INDEX($D$15:$D$23,B59)</f>
        <v>32.394649836288</v>
      </c>
      <c r="E59" s="23" t="n">
        <f aca="false">C59*INDEX($F$15:$F$23,B59)*D59</f>
        <v>0</v>
      </c>
      <c r="F59" s="18" t="n">
        <f aca="false">B58</f>
        <v>1</v>
      </c>
      <c r="G59" s="23" t="n">
        <f aca="false">$B$5*$B$6*(1+$B$8)^(A59-1)*INDEX($G$15:$G$23,F59)</f>
        <v>7.086244</v>
      </c>
      <c r="H59" s="24" t="n">
        <f aca="false">(D59+E59)/G59</f>
        <v>4.57148382645136</v>
      </c>
      <c r="I59" s="24" t="n">
        <f aca="false">I58+H59/60</f>
        <v>0.436323107335959</v>
      </c>
      <c r="J59" s="3" t="str">
        <f aca="false">IF(I59&gt;=$C$33,"Later",INDEX($A$27:$A$33,MATCH(I59,$B$27:$B$33,1)))</f>
        <v>First minute</v>
      </c>
      <c r="K59" s="23" t="n">
        <f aca="false">G59*$B$12</f>
        <v>17.71561</v>
      </c>
      <c r="L59" s="24" t="n">
        <f aca="false">(D59+E59)/K59</f>
        <v>1.82859353058054</v>
      </c>
      <c r="M59" s="24" t="n">
        <f aca="false">M58+L59/60</f>
        <v>0.174529242934384</v>
      </c>
    </row>
    <row r="60" customFormat="false" ht="15" hidden="false" customHeight="false" outlineLevel="0" collapsed="false">
      <c r="A60" s="18" t="n">
        <v>8</v>
      </c>
      <c r="B60" s="18" t="n">
        <f aca="false">MATCH(A60,$C$15:$C$23,1)</f>
        <v>1</v>
      </c>
      <c r="C60" s="27" t="n">
        <f aca="false">IF(AND(B60&gt;1,A60=INDEX($C$15:$C$23,B60)),1,0)</f>
        <v>0</v>
      </c>
      <c r="D60" s="23" t="n">
        <f aca="false">D59*INDEX($D$15:$D$23,B60)</f>
        <v>38.2256868068198</v>
      </c>
      <c r="E60" s="23" t="n">
        <f aca="false">C60*INDEX($F$15:$F$23,B60)*D60</f>
        <v>0</v>
      </c>
      <c r="F60" s="18" t="n">
        <f aca="false">B59</f>
        <v>1</v>
      </c>
      <c r="G60" s="23" t="n">
        <f aca="false">$B$5*$B$6*(1+$B$8)^(A60-1)*INDEX($G$15:$G$23,F60)</f>
        <v>7.79486840000001</v>
      </c>
      <c r="H60" s="24" t="n">
        <f aca="false">(D60+E60)/G60</f>
        <v>4.903955377466</v>
      </c>
      <c r="I60" s="24" t="n">
        <f aca="false">I59+H60/60</f>
        <v>0.518055696960393</v>
      </c>
      <c r="J60" s="3" t="str">
        <f aca="false">IF(I60&gt;=$C$33,"Later",INDEX($A$27:$A$33,MATCH(I60,$B$27:$B$33,1)))</f>
        <v>First minute</v>
      </c>
      <c r="K60" s="23" t="n">
        <f aca="false">G60*$B$12</f>
        <v>19.487171</v>
      </c>
      <c r="L60" s="24" t="n">
        <f aca="false">(D60+E60)/K60</f>
        <v>1.9615821509864</v>
      </c>
      <c r="M60" s="24" t="n">
        <f aca="false">M59+L60/60</f>
        <v>0.207222278784157</v>
      </c>
    </row>
    <row r="61" customFormat="false" ht="15" hidden="false" customHeight="false" outlineLevel="0" collapsed="false">
      <c r="A61" s="18" t="n">
        <v>9</v>
      </c>
      <c r="B61" s="18" t="n">
        <f aca="false">MATCH(A61,$C$15:$C$23,1)</f>
        <v>1</v>
      </c>
      <c r="C61" s="27" t="n">
        <f aca="false">IF(AND(B61&gt;1,A61=INDEX($C$15:$C$23,B61)),1,0)</f>
        <v>0</v>
      </c>
      <c r="D61" s="23" t="n">
        <f aca="false">D60*INDEX($D$15:$D$23,B61)</f>
        <v>45.1063104320474</v>
      </c>
      <c r="E61" s="23" t="n">
        <f aca="false">C61*INDEX($F$15:$F$23,B61)*D61</f>
        <v>0</v>
      </c>
      <c r="F61" s="18" t="n">
        <f aca="false">B60</f>
        <v>1</v>
      </c>
      <c r="G61" s="23" t="n">
        <f aca="false">$B$5*$B$6*(1+$B$8)^(A61-1)*INDEX($G$15:$G$23,F61)</f>
        <v>8.57435524000001</v>
      </c>
      <c r="H61" s="24" t="n">
        <f aca="false">(D61+E61)/G61</f>
        <v>5.26060667764535</v>
      </c>
      <c r="I61" s="24" t="n">
        <f aca="false">I60+H61/60</f>
        <v>0.605732474921149</v>
      </c>
      <c r="J61" s="3" t="str">
        <f aca="false">IF(I61&gt;=$C$33,"Later",INDEX($A$27:$A$33,MATCH(I61,$B$27:$B$33,1)))</f>
        <v>First minute</v>
      </c>
      <c r="K61" s="23" t="n">
        <f aca="false">G61*$B$12</f>
        <v>21.4358881</v>
      </c>
      <c r="L61" s="24" t="n">
        <f aca="false">(D61+E61)/K61</f>
        <v>2.10424267105814</v>
      </c>
      <c r="M61" s="24" t="n">
        <f aca="false">M60+L61/60</f>
        <v>0.242292989968459</v>
      </c>
    </row>
    <row r="62" customFormat="false" ht="15" hidden="false" customHeight="false" outlineLevel="0" collapsed="false">
      <c r="A62" s="18" t="n">
        <v>10</v>
      </c>
      <c r="B62" s="18" t="n">
        <f aca="false">MATCH(A62,$C$15:$C$23,1)</f>
        <v>1</v>
      </c>
      <c r="C62" s="27" t="n">
        <f aca="false">IF(AND(B62&gt;1,A62=INDEX($C$15:$C$23,B62)),1,0)</f>
        <v>0</v>
      </c>
      <c r="D62" s="23" t="n">
        <f aca="false">D61*INDEX($D$15:$D$23,B62)</f>
        <v>53.2254463098159</v>
      </c>
      <c r="E62" s="23" t="n">
        <f aca="false">C62*INDEX($F$15:$F$23,B62)*D62</f>
        <v>0</v>
      </c>
      <c r="F62" s="18" t="n">
        <f aca="false">B61</f>
        <v>1</v>
      </c>
      <c r="G62" s="23" t="n">
        <f aca="false">$B$5*$B$6*(1+$B$8)^(A62-1)*INDEX($G$15:$G$23,F62)</f>
        <v>9.43179076400001</v>
      </c>
      <c r="H62" s="24" t="n">
        <f aca="false">(D62+E62)/G62</f>
        <v>5.64319625420137</v>
      </c>
      <c r="I62" s="24" t="n">
        <f aca="false">I61+H62/60</f>
        <v>0.699785745824505</v>
      </c>
      <c r="J62" s="3" t="str">
        <f aca="false">IF(I62&gt;=$C$33,"Later",INDEX($A$27:$A$33,MATCH(I62,$B$27:$B$33,1)))</f>
        <v>First minute</v>
      </c>
      <c r="K62" s="23" t="n">
        <f aca="false">G62*$B$12</f>
        <v>23.57947691</v>
      </c>
      <c r="L62" s="24" t="n">
        <f aca="false">(D62+E62)/K62</f>
        <v>2.25727850168055</v>
      </c>
      <c r="M62" s="24" t="n">
        <f aca="false">M61+L62/60</f>
        <v>0.279914298329802</v>
      </c>
    </row>
    <row r="63" customFormat="false" ht="15" hidden="false" customHeight="false" outlineLevel="0" collapsed="false">
      <c r="A63" s="18" t="n">
        <v>11</v>
      </c>
      <c r="B63" s="18" t="n">
        <f aca="false">MATCH(A63,$C$15:$C$23,1)</f>
        <v>1</v>
      </c>
      <c r="C63" s="27" t="n">
        <f aca="false">IF(AND(B63&gt;1,A63=INDEX($C$15:$C$23,B63)),1,0)</f>
        <v>0</v>
      </c>
      <c r="D63" s="23" t="n">
        <f aca="false">D62*INDEX($D$15:$D$23,B63)</f>
        <v>62.8060266455828</v>
      </c>
      <c r="E63" s="23" t="n">
        <f aca="false">C63*INDEX($F$15:$F$23,B63)*D63</f>
        <v>0</v>
      </c>
      <c r="F63" s="18" t="n">
        <f aca="false">B62</f>
        <v>1</v>
      </c>
      <c r="G63" s="23" t="n">
        <f aca="false">$B$5*$B$6*(1+$B$8)^(A63-1)*INDEX($G$15:$G$23,F63)</f>
        <v>10.3749698404</v>
      </c>
      <c r="H63" s="24" t="n">
        <f aca="false">(D63+E63)/G63</f>
        <v>6.0536105272342</v>
      </c>
      <c r="I63" s="24" t="n">
        <f aca="false">I62+H63/60</f>
        <v>0.800679254611741</v>
      </c>
      <c r="J63" s="3" t="str">
        <f aca="false">IF(I63&gt;=$C$33,"Later",INDEX($A$27:$A$33,MATCH(I63,$B$27:$B$33,1)))</f>
        <v>First minute</v>
      </c>
      <c r="K63" s="23" t="n">
        <f aca="false">G63*$B$12</f>
        <v>25.937424601</v>
      </c>
      <c r="L63" s="24" t="n">
        <f aca="false">(D63+E63)/K63</f>
        <v>2.42144421089368</v>
      </c>
      <c r="M63" s="24" t="n">
        <f aca="false">M62+L63/60</f>
        <v>0.320271701844697</v>
      </c>
    </row>
    <row r="64" customFormat="false" ht="15" hidden="false" customHeight="false" outlineLevel="0" collapsed="false">
      <c r="A64" s="18" t="n">
        <v>12</v>
      </c>
      <c r="B64" s="18" t="n">
        <f aca="false">MATCH(A64,$C$15:$C$23,1)</f>
        <v>1</v>
      </c>
      <c r="C64" s="27" t="n">
        <f aca="false">IF(AND(B64&gt;1,A64=INDEX($C$15:$C$23,B64)),1,0)</f>
        <v>0</v>
      </c>
      <c r="D64" s="23" t="n">
        <f aca="false">D63*INDEX($D$15:$D$23,B64)</f>
        <v>74.1111114417877</v>
      </c>
      <c r="E64" s="23" t="n">
        <f aca="false">C64*INDEX($F$15:$F$23,B64)*D64</f>
        <v>0</v>
      </c>
      <c r="F64" s="18" t="n">
        <f aca="false">B63</f>
        <v>1</v>
      </c>
      <c r="G64" s="23" t="n">
        <f aca="false">$B$5*$B$6*(1+$B$8)^(A64-1)*INDEX($G$15:$G$23,F64)</f>
        <v>11.41246682444</v>
      </c>
      <c r="H64" s="24" t="n">
        <f aca="false">(D64+E64)/G64</f>
        <v>6.49387311103305</v>
      </c>
      <c r="I64" s="24" t="n">
        <f aca="false">I63+H64/60</f>
        <v>0.908910473128959</v>
      </c>
      <c r="J64" s="3" t="str">
        <f aca="false">IF(I64&gt;=$C$33,"Later",INDEX($A$27:$A$33,MATCH(I64,$B$27:$B$33,1)))</f>
        <v>First minute</v>
      </c>
      <c r="K64" s="23" t="n">
        <f aca="false">G64*$B$12</f>
        <v>28.5311670611</v>
      </c>
      <c r="L64" s="24" t="n">
        <f aca="false">(D64+E64)/K64</f>
        <v>2.59754924441322</v>
      </c>
      <c r="M64" s="24" t="n">
        <f aca="false">M63+L64/60</f>
        <v>0.363564189251583</v>
      </c>
    </row>
    <row r="65" customFormat="false" ht="15" hidden="false" customHeight="false" outlineLevel="0" collapsed="false">
      <c r="A65" s="18" t="n">
        <v>13</v>
      </c>
      <c r="B65" s="18" t="n">
        <f aca="false">MATCH(A65,$C$15:$C$23,1)</f>
        <v>1</v>
      </c>
      <c r="C65" s="27" t="n">
        <f aca="false">IF(AND(B65&gt;1,A65=INDEX($C$15:$C$23,B65)),1,0)</f>
        <v>0</v>
      </c>
      <c r="D65" s="23" t="n">
        <f aca="false">D64*INDEX($D$15:$D$23,B65)</f>
        <v>87.4511115013094</v>
      </c>
      <c r="E65" s="23" t="n">
        <f aca="false">C65*INDEX($F$15:$F$23,B65)*D65</f>
        <v>0</v>
      </c>
      <c r="F65" s="18" t="n">
        <f aca="false">B64</f>
        <v>1</v>
      </c>
      <c r="G65" s="23" t="n">
        <f aca="false">$B$5*$B$6*(1+$B$8)^(A65-1)*INDEX($G$15:$G$23,F65)</f>
        <v>12.553713506884</v>
      </c>
      <c r="H65" s="24" t="n">
        <f aca="false">(D65+E65)/G65</f>
        <v>6.96615479183545</v>
      </c>
      <c r="I65" s="24" t="n">
        <f aca="false">I64+H65/60</f>
        <v>1.02501305299288</v>
      </c>
      <c r="J65" s="3" t="str">
        <f aca="false">IF(I65&gt;=$C$33,"Later",INDEX($A$27:$A$33,MATCH(I65,$B$27:$B$33,1)))</f>
        <v>Minutes 1-5</v>
      </c>
      <c r="K65" s="23" t="n">
        <f aca="false">G65*$B$12</f>
        <v>31.38428376721</v>
      </c>
      <c r="L65" s="24" t="n">
        <f aca="false">(D65+E65)/K65</f>
        <v>2.78646191673418</v>
      </c>
      <c r="M65" s="24" t="n">
        <f aca="false">M64+L65/60</f>
        <v>0.410005221197153</v>
      </c>
    </row>
    <row r="66" customFormat="false" ht="15" hidden="false" customHeight="false" outlineLevel="0" collapsed="false">
      <c r="A66" s="18" t="n">
        <v>14</v>
      </c>
      <c r="B66" s="18" t="n">
        <f aca="false">MATCH(A66,$C$15:$C$23,1)</f>
        <v>1</v>
      </c>
      <c r="C66" s="27" t="n">
        <f aca="false">IF(AND(B66&gt;1,A66=INDEX($C$15:$C$23,B66)),1,0)</f>
        <v>0</v>
      </c>
      <c r="D66" s="23" t="n">
        <f aca="false">D65*INDEX($D$15:$D$23,B66)</f>
        <v>103.192311571545</v>
      </c>
      <c r="E66" s="23" t="n">
        <f aca="false">C66*INDEX($F$15:$F$23,B66)*D66</f>
        <v>0</v>
      </c>
      <c r="F66" s="18" t="n">
        <f aca="false">B65</f>
        <v>1</v>
      </c>
      <c r="G66" s="23" t="n">
        <f aca="false">$B$5*$B$6*(1+$B$8)^(A66-1)*INDEX($G$15:$G$23,F66)</f>
        <v>13.8090848575724</v>
      </c>
      <c r="H66" s="24" t="n">
        <f aca="false">(D66+E66)/G66</f>
        <v>7.47278423124166</v>
      </c>
      <c r="I66" s="24" t="n">
        <f aca="false">I65+H66/60</f>
        <v>1.14955945684691</v>
      </c>
      <c r="J66" s="3" t="str">
        <f aca="false">IF(I66&gt;=$C$33,"Later",INDEX($A$27:$A$33,MATCH(I66,$B$27:$B$33,1)))</f>
        <v>Minutes 1-5</v>
      </c>
      <c r="K66" s="23" t="n">
        <f aca="false">G66*$B$12</f>
        <v>34.522712143931</v>
      </c>
      <c r="L66" s="24" t="n">
        <f aca="false">(D66+E66)/K66</f>
        <v>2.98911369249666</v>
      </c>
      <c r="M66" s="24" t="n">
        <f aca="false">M65+L66/60</f>
        <v>0.459823782738764</v>
      </c>
    </row>
    <row r="67" customFormat="false" ht="15" hidden="false" customHeight="false" outlineLevel="0" collapsed="false">
      <c r="A67" s="18" t="n">
        <v>15</v>
      </c>
      <c r="B67" s="18" t="n">
        <f aca="false">MATCH(A67,$C$15:$C$23,1)</f>
        <v>1</v>
      </c>
      <c r="C67" s="27" t="n">
        <f aca="false">IF(AND(B67&gt;1,A67=INDEX($C$15:$C$23,B67)),1,0)</f>
        <v>0</v>
      </c>
      <c r="D67" s="23" t="n">
        <f aca="false">D66*INDEX($D$15:$D$23,B67)</f>
        <v>121.766927654423</v>
      </c>
      <c r="E67" s="23" t="n">
        <f aca="false">C67*INDEX($F$15:$F$23,B67)*D67</f>
        <v>0</v>
      </c>
      <c r="F67" s="18" t="n">
        <f aca="false">B66</f>
        <v>1</v>
      </c>
      <c r="G67" s="23" t="n">
        <f aca="false">$B$5*$B$6*(1+$B$8)^(A67-1)*INDEX($G$15:$G$23,F67)</f>
        <v>15.1899933433297</v>
      </c>
      <c r="H67" s="24" t="n">
        <f aca="false">(D67+E67)/G67</f>
        <v>8.01625944805924</v>
      </c>
      <c r="I67" s="24" t="n">
        <f aca="false">I66+H67/60</f>
        <v>1.28316378098123</v>
      </c>
      <c r="J67" s="3" t="str">
        <f aca="false">IF(I67&gt;=$C$33,"Later",INDEX($A$27:$A$33,MATCH(I67,$B$27:$B$33,1)))</f>
        <v>Minutes 1-5</v>
      </c>
      <c r="K67" s="23" t="n">
        <f aca="false">G67*$B$12</f>
        <v>37.9749833583241</v>
      </c>
      <c r="L67" s="24" t="n">
        <f aca="false">(D67+E67)/K67</f>
        <v>3.20650377922369</v>
      </c>
      <c r="M67" s="24" t="n">
        <f aca="false">M66+L67/60</f>
        <v>0.513265512392492</v>
      </c>
    </row>
    <row r="68" customFormat="false" ht="15" hidden="false" customHeight="false" outlineLevel="0" collapsed="false">
      <c r="A68" s="18" t="n">
        <v>16</v>
      </c>
      <c r="B68" s="18" t="n">
        <f aca="false">MATCH(A68,$C$15:$C$23,1)</f>
        <v>1</v>
      </c>
      <c r="C68" s="27" t="n">
        <f aca="false">IF(AND(B68&gt;1,A68=INDEX($C$15:$C$23,B68)),1,0)</f>
        <v>0</v>
      </c>
      <c r="D68" s="23" t="n">
        <f aca="false">D67*INDEX($D$15:$D$23,B68)</f>
        <v>143.684974632219</v>
      </c>
      <c r="E68" s="23" t="n">
        <f aca="false">C68*INDEX($F$15:$F$23,B68)*D68</f>
        <v>0</v>
      </c>
      <c r="F68" s="18" t="n">
        <f aca="false">B67</f>
        <v>1</v>
      </c>
      <c r="G68" s="23" t="n">
        <f aca="false">$B$5*$B$6*(1+$B$8)^(A68-1)*INDEX($G$15:$G$23,F68)</f>
        <v>16.7089926776626</v>
      </c>
      <c r="H68" s="24" t="n">
        <f aca="false">(D68+E68)/G68</f>
        <v>8.59926013519081</v>
      </c>
      <c r="I68" s="24" t="n">
        <f aca="false">I67+H68/60</f>
        <v>1.42648478323441</v>
      </c>
      <c r="J68" s="3" t="str">
        <f aca="false">IF(I68&gt;=$C$33,"Later",INDEX($A$27:$A$33,MATCH(I68,$B$27:$B$33,1)))</f>
        <v>Minutes 1-5</v>
      </c>
      <c r="K68" s="23" t="n">
        <f aca="false">G68*$B$12</f>
        <v>41.7724816941566</v>
      </c>
      <c r="L68" s="24" t="n">
        <f aca="false">(D68+E68)/K68</f>
        <v>3.43970405407633</v>
      </c>
      <c r="M68" s="24" t="n">
        <f aca="false">M67+L68/60</f>
        <v>0.570593913293765</v>
      </c>
    </row>
    <row r="69" customFormat="false" ht="15" hidden="false" customHeight="false" outlineLevel="0" collapsed="false">
      <c r="A69" s="18" t="n">
        <v>17</v>
      </c>
      <c r="B69" s="18" t="n">
        <f aca="false">MATCH(A69,$C$15:$C$23,1)</f>
        <v>1</v>
      </c>
      <c r="C69" s="27" t="n">
        <f aca="false">IF(AND(B69&gt;1,A69=INDEX($C$15:$C$23,B69)),1,0)</f>
        <v>0</v>
      </c>
      <c r="D69" s="23" t="n">
        <f aca="false">D68*INDEX($D$15:$D$23,B69)</f>
        <v>169.548270066019</v>
      </c>
      <c r="E69" s="23" t="n">
        <f aca="false">C69*INDEX($F$15:$F$23,B69)*D69</f>
        <v>0</v>
      </c>
      <c r="F69" s="18" t="n">
        <f aca="false">B68</f>
        <v>1</v>
      </c>
      <c r="G69" s="23" t="n">
        <f aca="false">$B$5*$B$6*(1+$B$8)^(A69-1)*INDEX($G$15:$G$23,F69)</f>
        <v>18.3798919454289</v>
      </c>
      <c r="H69" s="24" t="n">
        <f aca="false">(D69+E69)/G69</f>
        <v>9.2246608722956</v>
      </c>
      <c r="I69" s="24" t="n">
        <f aca="false">I68+H69/60</f>
        <v>1.580229131106</v>
      </c>
      <c r="J69" s="3" t="str">
        <f aca="false">IF(I69&gt;=$C$33,"Later",INDEX($A$27:$A$33,MATCH(I69,$B$27:$B$33,1)))</f>
        <v>Minutes 1-5</v>
      </c>
      <c r="K69" s="23" t="n">
        <f aca="false">G69*$B$12</f>
        <v>45.9497298635722</v>
      </c>
      <c r="L69" s="24" t="n">
        <f aca="false">(D69+E69)/K69</f>
        <v>3.68986434891824</v>
      </c>
      <c r="M69" s="24" t="n">
        <f aca="false">M68+L69/60</f>
        <v>0.632091652442402</v>
      </c>
    </row>
    <row r="70" customFormat="false" ht="15" hidden="false" customHeight="false" outlineLevel="0" collapsed="false">
      <c r="A70" s="18" t="n">
        <v>18</v>
      </c>
      <c r="B70" s="18" t="n">
        <f aca="false">MATCH(A70,$C$15:$C$23,1)</f>
        <v>1</v>
      </c>
      <c r="C70" s="27" t="n">
        <f aca="false">IF(AND(B70&gt;1,A70=INDEX($C$15:$C$23,B70)),1,0)</f>
        <v>0</v>
      </c>
      <c r="D70" s="23" t="n">
        <f aca="false">D69*INDEX($D$15:$D$23,B70)</f>
        <v>200.066958677902</v>
      </c>
      <c r="E70" s="23" t="n">
        <f aca="false">C70*INDEX($F$15:$F$23,B70)*D70</f>
        <v>0</v>
      </c>
      <c r="F70" s="18" t="n">
        <f aca="false">B69</f>
        <v>1</v>
      </c>
      <c r="G70" s="23" t="n">
        <f aca="false">$B$5*$B$6*(1+$B$8)^(A70-1)*INDEX($G$15:$G$23,F70)</f>
        <v>20.2178811399718</v>
      </c>
      <c r="H70" s="24" t="n">
        <f aca="false">(D70+E70)/G70</f>
        <v>9.89554529937164</v>
      </c>
      <c r="I70" s="24" t="n">
        <f aca="false">I69+H70/60</f>
        <v>1.74515488609553</v>
      </c>
      <c r="J70" s="3" t="str">
        <f aca="false">IF(I70&gt;=$C$33,"Later",INDEX($A$27:$A$33,MATCH(I70,$B$27:$B$33,1)))</f>
        <v>Minutes 1-5</v>
      </c>
      <c r="K70" s="23" t="n">
        <f aca="false">G70*$B$12</f>
        <v>50.5447028499295</v>
      </c>
      <c r="L70" s="24" t="n">
        <f aca="false">(D70+E70)/K70</f>
        <v>3.95821811974866</v>
      </c>
      <c r="M70" s="24" t="n">
        <f aca="false">M69+L70/60</f>
        <v>0.698061954438213</v>
      </c>
    </row>
    <row r="71" customFormat="false" ht="15" hidden="false" customHeight="false" outlineLevel="0" collapsed="false">
      <c r="A71" s="18" t="n">
        <v>19</v>
      </c>
      <c r="B71" s="18" t="n">
        <f aca="false">MATCH(A71,$C$15:$C$23,1)</f>
        <v>1</v>
      </c>
      <c r="C71" s="27" t="n">
        <f aca="false">IF(AND(B71&gt;1,A71=INDEX($C$15:$C$23,B71)),1,0)</f>
        <v>0</v>
      </c>
      <c r="D71" s="23" t="n">
        <f aca="false">D70*INDEX($D$15:$D$23,B71)</f>
        <v>236.079011239925</v>
      </c>
      <c r="E71" s="23" t="n">
        <f aca="false">C71*INDEX($F$15:$F$23,B71)*D71</f>
        <v>0</v>
      </c>
      <c r="F71" s="18" t="n">
        <f aca="false">B70</f>
        <v>1</v>
      </c>
      <c r="G71" s="23" t="n">
        <f aca="false">$B$5*$B$6*(1+$B$8)^(A71-1)*INDEX($G$15:$G$23,F71)</f>
        <v>22.239669253969</v>
      </c>
      <c r="H71" s="24" t="n">
        <f aca="false">(D71+E71)/G71</f>
        <v>10.6152213211441</v>
      </c>
      <c r="I71" s="24" t="n">
        <f aca="false">I70+H71/60</f>
        <v>1.92207524144793</v>
      </c>
      <c r="J71" s="3" t="str">
        <f aca="false">IF(I71&gt;=$C$33,"Later",INDEX($A$27:$A$33,MATCH(I71,$B$27:$B$33,1)))</f>
        <v>Minutes 1-5</v>
      </c>
      <c r="K71" s="23" t="n">
        <f aca="false">G71*$B$12</f>
        <v>55.5991731349224</v>
      </c>
      <c r="L71" s="24" t="n">
        <f aca="false">(D71+E71)/K71</f>
        <v>4.24608852845765</v>
      </c>
      <c r="M71" s="24" t="n">
        <f aca="false">M70+L71/60</f>
        <v>0.768830096579174</v>
      </c>
    </row>
    <row r="72" customFormat="false" ht="15" hidden="false" customHeight="false" outlineLevel="0" collapsed="false">
      <c r="A72" s="18" t="n">
        <v>20</v>
      </c>
      <c r="B72" s="18" t="n">
        <f aca="false">MATCH(A72,$C$15:$C$23,1)</f>
        <v>1</v>
      </c>
      <c r="C72" s="27" t="n">
        <f aca="false">IF(AND(B72&gt;1,A72=INDEX($C$15:$C$23,B72)),1,0)</f>
        <v>0</v>
      </c>
      <c r="D72" s="23" t="n">
        <f aca="false">D71*INDEX($D$15:$D$23,B72)</f>
        <v>278.573233263111</v>
      </c>
      <c r="E72" s="23" t="n">
        <f aca="false">C72*INDEX($F$15:$F$23,B72)*D72</f>
        <v>0</v>
      </c>
      <c r="F72" s="18" t="n">
        <f aca="false">B71</f>
        <v>1</v>
      </c>
      <c r="G72" s="23" t="n">
        <f aca="false">$B$5*$B$6*(1+$B$8)^(A72-1)*INDEX($G$15:$G$23,F72)</f>
        <v>24.4636361793659</v>
      </c>
      <c r="H72" s="24" t="n">
        <f aca="false">(D72+E72)/G72</f>
        <v>11.3872374172273</v>
      </c>
      <c r="I72" s="24" t="n">
        <f aca="false">I71+H72/60</f>
        <v>2.11186253173506</v>
      </c>
      <c r="J72" s="3" t="str">
        <f aca="false">IF(I72&gt;=$C$33,"Later",INDEX($A$27:$A$33,MATCH(I72,$B$27:$B$33,1)))</f>
        <v>Minutes 1-5</v>
      </c>
      <c r="K72" s="23" t="n">
        <f aca="false">G72*$B$12</f>
        <v>61.1590904484146</v>
      </c>
      <c r="L72" s="24" t="n">
        <f aca="false">(D72+E72)/K72</f>
        <v>4.55489496689093</v>
      </c>
      <c r="M72" s="24" t="n">
        <f aca="false">M71+L72/60</f>
        <v>0.844745012694023</v>
      </c>
    </row>
    <row r="73" customFormat="false" ht="15" hidden="false" customHeight="false" outlineLevel="0" collapsed="false">
      <c r="A73" s="18" t="n">
        <v>21</v>
      </c>
      <c r="B73" s="18" t="n">
        <f aca="false">MATCH(A73,$C$15:$C$23,1)</f>
        <v>1</v>
      </c>
      <c r="C73" s="27" t="n">
        <f aca="false">IF(AND(B73&gt;1,A73=INDEX($C$15:$C$23,B73)),1,0)</f>
        <v>0</v>
      </c>
      <c r="D73" s="23" t="n">
        <f aca="false">D72*INDEX($D$15:$D$23,B73)</f>
        <v>328.716415250471</v>
      </c>
      <c r="E73" s="23" t="n">
        <f aca="false">C73*INDEX($F$15:$F$23,B73)*D73</f>
        <v>0</v>
      </c>
      <c r="F73" s="18" t="n">
        <f aca="false">B72</f>
        <v>1</v>
      </c>
      <c r="G73" s="23" t="n">
        <f aca="false">$B$5*$B$6*(1+$B$8)^(A73-1)*INDEX($G$15:$G$23,F73)</f>
        <v>26.9099997973024</v>
      </c>
      <c r="H73" s="24" t="n">
        <f aca="false">(D73+E73)/G73</f>
        <v>12.2154001384802</v>
      </c>
      <c r="I73" s="24" t="n">
        <f aca="false">I72+H73/60</f>
        <v>2.31545253404306</v>
      </c>
      <c r="J73" s="3" t="str">
        <f aca="false">IF(I73&gt;=$C$33,"Later",INDEX($A$27:$A$33,MATCH(I73,$B$27:$B$33,1)))</f>
        <v>Minutes 1-5</v>
      </c>
      <c r="K73" s="23" t="n">
        <f aca="false">G73*$B$12</f>
        <v>67.2749994932561</v>
      </c>
      <c r="L73" s="24" t="n">
        <f aca="false">(D73+E73)/K73</f>
        <v>4.88616005539209</v>
      </c>
      <c r="M73" s="24" t="n">
        <f aca="false">M72+L73/60</f>
        <v>0.926181013617224</v>
      </c>
    </row>
    <row r="74" customFormat="false" ht="15" hidden="false" customHeight="false" outlineLevel="0" collapsed="false">
      <c r="A74" s="18" t="n">
        <v>22</v>
      </c>
      <c r="B74" s="18" t="n">
        <f aca="false">MATCH(A74,$C$15:$C$23,1)</f>
        <v>1</v>
      </c>
      <c r="C74" s="27" t="n">
        <f aca="false">IF(AND(B74&gt;1,A74=INDEX($C$15:$C$23,B74)),1,0)</f>
        <v>0</v>
      </c>
      <c r="D74" s="23" t="n">
        <f aca="false">D73*INDEX($D$15:$D$23,B74)</f>
        <v>387.885369995556</v>
      </c>
      <c r="E74" s="23" t="n">
        <f aca="false">C74*INDEX($F$15:$F$23,B74)*D74</f>
        <v>0</v>
      </c>
      <c r="F74" s="18" t="n">
        <f aca="false">B73</f>
        <v>1</v>
      </c>
      <c r="G74" s="23" t="n">
        <f aca="false">$B$5*$B$6*(1+$B$8)^(A74-1)*INDEX($G$15:$G$23,F74)</f>
        <v>29.6009997770327</v>
      </c>
      <c r="H74" s="24" t="n">
        <f aca="false">(D74+E74)/G74</f>
        <v>13.1037928758242</v>
      </c>
      <c r="I74" s="24" t="n">
        <f aca="false">I73+H74/60</f>
        <v>2.53384908197346</v>
      </c>
      <c r="J74" s="3" t="str">
        <f aca="false">IF(I74&gt;=$C$33,"Later",INDEX($A$27:$A$33,MATCH(I74,$B$27:$B$33,1)))</f>
        <v>Minutes 1-5</v>
      </c>
      <c r="K74" s="23" t="n">
        <f aca="false">G74*$B$12</f>
        <v>74.0024994425817</v>
      </c>
      <c r="L74" s="24" t="n">
        <f aca="false">(D74+E74)/K74</f>
        <v>5.2415171503297</v>
      </c>
      <c r="M74" s="24" t="n">
        <f aca="false">M73+L74/60</f>
        <v>1.01353963278939</v>
      </c>
    </row>
    <row r="75" customFormat="false" ht="15" hidden="false" customHeight="false" outlineLevel="0" collapsed="false">
      <c r="A75" s="18" t="n">
        <v>23</v>
      </c>
      <c r="B75" s="18" t="n">
        <f aca="false">MATCH(A75,$C$15:$C$23,1)</f>
        <v>1</v>
      </c>
      <c r="C75" s="27" t="n">
        <f aca="false">IF(AND(B75&gt;1,A75=INDEX($C$15:$C$23,B75)),1,0)</f>
        <v>0</v>
      </c>
      <c r="D75" s="23" t="n">
        <f aca="false">D74*INDEX($D$15:$D$23,B75)</f>
        <v>457.704736594756</v>
      </c>
      <c r="E75" s="23" t="n">
        <f aca="false">C75*INDEX($F$15:$F$23,B75)*D75</f>
        <v>0</v>
      </c>
      <c r="F75" s="18" t="n">
        <f aca="false">B74</f>
        <v>1</v>
      </c>
      <c r="G75" s="23" t="n">
        <f aca="false">$B$5*$B$6*(1+$B$8)^(A75-1)*INDEX($G$15:$G$23,F75)</f>
        <v>32.561099754736</v>
      </c>
      <c r="H75" s="24" t="n">
        <f aca="false">(D75+E75)/G75</f>
        <v>14.056795994066</v>
      </c>
      <c r="I75" s="24" t="n">
        <f aca="false">I74+H75/60</f>
        <v>2.7681290152079</v>
      </c>
      <c r="J75" s="3" t="str">
        <f aca="false">IF(I75&gt;=$C$33,"Later",INDEX($A$27:$A$33,MATCH(I75,$B$27:$B$33,1)))</f>
        <v>Minutes 1-5</v>
      </c>
      <c r="K75" s="23" t="n">
        <f aca="false">G75*$B$12</f>
        <v>81.4027493868399</v>
      </c>
      <c r="L75" s="24" t="n">
        <f aca="false">(D75+E75)/K75</f>
        <v>5.6227183976264</v>
      </c>
      <c r="M75" s="24" t="n">
        <f aca="false">M74+L75/60</f>
        <v>1.10725160608316</v>
      </c>
    </row>
    <row r="76" customFormat="false" ht="15" hidden="false" customHeight="false" outlineLevel="0" collapsed="false">
      <c r="A76" s="18" t="n">
        <v>24</v>
      </c>
      <c r="B76" s="18" t="n">
        <f aca="false">MATCH(A76,$C$15:$C$23,1)</f>
        <v>1</v>
      </c>
      <c r="C76" s="27" t="n">
        <f aca="false">IF(AND(B76&gt;1,A76=INDEX($C$15:$C$23,B76)),1,0)</f>
        <v>0</v>
      </c>
      <c r="D76" s="23" t="n">
        <f aca="false">D75*INDEX($D$15:$D$23,B76)</f>
        <v>540.091589181812</v>
      </c>
      <c r="E76" s="23" t="n">
        <f aca="false">C76*INDEX($F$15:$F$23,B76)*D76</f>
        <v>0</v>
      </c>
      <c r="F76" s="18" t="n">
        <f aca="false">B75</f>
        <v>1</v>
      </c>
      <c r="G76" s="23" t="n">
        <f aca="false">$B$5*$B$6*(1+$B$8)^(A76-1)*INDEX($G$15:$G$23,F76)</f>
        <v>35.8172097302096</v>
      </c>
      <c r="H76" s="24" t="n">
        <f aca="false">(D76+E76)/G76</f>
        <v>15.0791084299981</v>
      </c>
      <c r="I76" s="24" t="n">
        <f aca="false">I75+H76/60</f>
        <v>3.0194474890412</v>
      </c>
      <c r="J76" s="3" t="str">
        <f aca="false">IF(I76&gt;=$C$33,"Later",INDEX($A$27:$A$33,MATCH(I76,$B$27:$B$33,1)))</f>
        <v>Minutes 1-5</v>
      </c>
      <c r="K76" s="23" t="n">
        <f aca="false">G76*$B$12</f>
        <v>89.5430243255239</v>
      </c>
      <c r="L76" s="24" t="n">
        <f aca="false">(D76+E76)/K76</f>
        <v>6.03164337199923</v>
      </c>
      <c r="M76" s="24" t="n">
        <f aca="false">M75+L76/60</f>
        <v>1.20777899561648</v>
      </c>
    </row>
    <row r="77" customFormat="false" ht="15" hidden="false" customHeight="false" outlineLevel="0" collapsed="false">
      <c r="A77" s="18" t="n">
        <v>25</v>
      </c>
      <c r="B77" s="18" t="n">
        <f aca="false">MATCH(A77,$C$15:$C$23,1)</f>
        <v>1</v>
      </c>
      <c r="C77" s="27" t="n">
        <f aca="false">IF(AND(B77&gt;1,A77=INDEX($C$15:$C$23,B77)),1,0)</f>
        <v>0</v>
      </c>
      <c r="D77" s="23" t="n">
        <f aca="false">D76*INDEX($D$15:$D$23,B77)</f>
        <v>637.308075234538</v>
      </c>
      <c r="E77" s="23" t="n">
        <f aca="false">C77*INDEX($F$15:$F$23,B77)*D77</f>
        <v>0</v>
      </c>
      <c r="F77" s="18" t="n">
        <f aca="false">B76</f>
        <v>1</v>
      </c>
      <c r="G77" s="23" t="n">
        <f aca="false">$B$5*$B$6*(1+$B$8)^(A77-1)*INDEX($G$15:$G$23,F77)</f>
        <v>39.3989307032305</v>
      </c>
      <c r="H77" s="24" t="n">
        <f aca="false">(D77+E77)/G77</f>
        <v>16.1757708612707</v>
      </c>
      <c r="I77" s="24" t="n">
        <f aca="false">I76+H77/60</f>
        <v>3.28904367006238</v>
      </c>
      <c r="J77" s="3" t="str">
        <f aca="false">IF(I77&gt;=$C$33,"Later",INDEX($A$27:$A$33,MATCH(I77,$B$27:$B$33,1)))</f>
        <v>Minutes 1-5</v>
      </c>
      <c r="K77" s="23" t="n">
        <f aca="false">G77*$B$12</f>
        <v>98.4973267580763</v>
      </c>
      <c r="L77" s="24" t="n">
        <f aca="false">(D77+E77)/K77</f>
        <v>6.47030834450826</v>
      </c>
      <c r="M77" s="24" t="n">
        <f aca="false">M76+L77/60</f>
        <v>1.31561746802495</v>
      </c>
    </row>
    <row r="78" customFormat="false" ht="15" hidden="false" customHeight="false" outlineLevel="0" collapsed="false">
      <c r="A78" s="18" t="n">
        <v>26</v>
      </c>
      <c r="B78" s="18" t="n">
        <f aca="false">MATCH(A78,$C$15:$C$23,1)</f>
        <v>1</v>
      </c>
      <c r="C78" s="27" t="n">
        <f aca="false">IF(AND(B78&gt;1,A78=INDEX($C$15:$C$23,B78)),1,0)</f>
        <v>0</v>
      </c>
      <c r="D78" s="23" t="n">
        <f aca="false">D77*INDEX($D$15:$D$23,B78)</f>
        <v>752.023528776755</v>
      </c>
      <c r="E78" s="23" t="n">
        <f aca="false">C78*INDEX($F$15:$F$23,B78)*D78</f>
        <v>0</v>
      </c>
      <c r="F78" s="18" t="n">
        <f aca="false">B77</f>
        <v>1</v>
      </c>
      <c r="G78" s="23" t="n">
        <f aca="false">$B$5*$B$6*(1+$B$8)^(A78-1)*INDEX($G$15:$G$23,F78)</f>
        <v>43.3388237735536</v>
      </c>
      <c r="H78" s="24" t="n">
        <f aca="false">(D78+E78)/G78</f>
        <v>17.3521905602722</v>
      </c>
      <c r="I78" s="24" t="n">
        <f aca="false">I77+H78/60</f>
        <v>3.57824684606691</v>
      </c>
      <c r="J78" s="3" t="str">
        <f aca="false">IF(I78&gt;=$C$33,"Later",INDEX($A$27:$A$33,MATCH(I78,$B$27:$B$33,1)))</f>
        <v>Minutes 1-5</v>
      </c>
      <c r="K78" s="23" t="n">
        <f aca="false">G78*$B$12</f>
        <v>108.347059433884</v>
      </c>
      <c r="L78" s="24" t="n">
        <f aca="false">(D78+E78)/K78</f>
        <v>6.94087622410886</v>
      </c>
      <c r="M78" s="24" t="n">
        <f aca="false">M77+L78/60</f>
        <v>1.43129873842676</v>
      </c>
    </row>
    <row r="79" customFormat="false" ht="15" hidden="false" customHeight="false" outlineLevel="0" collapsed="false">
      <c r="A79" s="18" t="n">
        <v>27</v>
      </c>
      <c r="B79" s="18" t="n">
        <f aca="false">MATCH(A79,$C$15:$C$23,1)</f>
        <v>1</v>
      </c>
      <c r="C79" s="27" t="n">
        <f aca="false">IF(AND(B79&gt;1,A79=INDEX($C$15:$C$23,B79)),1,0)</f>
        <v>0</v>
      </c>
      <c r="D79" s="23" t="n">
        <f aca="false">D78*INDEX($D$15:$D$23,B79)</f>
        <v>887.387763956571</v>
      </c>
      <c r="E79" s="23" t="n">
        <f aca="false">C79*INDEX($F$15:$F$23,B79)*D79</f>
        <v>0</v>
      </c>
      <c r="F79" s="18" t="n">
        <f aca="false">B78</f>
        <v>1</v>
      </c>
      <c r="G79" s="23" t="n">
        <f aca="false">$B$5*$B$6*(1+$B$8)^(A79-1)*INDEX($G$15:$G$23,F79)</f>
        <v>47.6727061509089</v>
      </c>
      <c r="H79" s="24" t="n">
        <f aca="false">(D79+E79)/G79</f>
        <v>18.6141680555647</v>
      </c>
      <c r="I79" s="24" t="n">
        <f aca="false">I78+H79/60</f>
        <v>3.88848298032632</v>
      </c>
      <c r="J79" s="3" t="str">
        <f aca="false">IF(I79&gt;=$C$33,"Later",INDEX($A$27:$A$33,MATCH(I79,$B$27:$B$33,1)))</f>
        <v>Minutes 1-5</v>
      </c>
      <c r="K79" s="23" t="n">
        <f aca="false">G79*$B$12</f>
        <v>119.181765377272</v>
      </c>
      <c r="L79" s="24" t="n">
        <f aca="false">(D79+E79)/K79</f>
        <v>7.44566722222587</v>
      </c>
      <c r="M79" s="24" t="n">
        <f aca="false">M78+L79/60</f>
        <v>1.55539319213053</v>
      </c>
    </row>
    <row r="80" customFormat="false" ht="15" hidden="false" customHeight="false" outlineLevel="0" collapsed="false">
      <c r="A80" s="18" t="n">
        <v>28</v>
      </c>
      <c r="B80" s="18" t="n">
        <f aca="false">MATCH(A80,$C$15:$C$23,1)</f>
        <v>1</v>
      </c>
      <c r="C80" s="27" t="n">
        <f aca="false">IF(AND(B80&gt;1,A80=INDEX($C$15:$C$23,B80)),1,0)</f>
        <v>0</v>
      </c>
      <c r="D80" s="23" t="n">
        <f aca="false">D79*INDEX($D$15:$D$23,B80)</f>
        <v>1047.11756146875</v>
      </c>
      <c r="E80" s="23" t="n">
        <f aca="false">C80*INDEX($F$15:$F$23,B80)*D80</f>
        <v>0</v>
      </c>
      <c r="F80" s="18" t="n">
        <f aca="false">B79</f>
        <v>1</v>
      </c>
      <c r="G80" s="23" t="n">
        <f aca="false">$B$5*$B$6*(1+$B$8)^(A80-1)*INDEX($G$15:$G$23,F80)</f>
        <v>52.4399767659998</v>
      </c>
      <c r="H80" s="24" t="n">
        <f aca="false">(D80+E80)/G80</f>
        <v>19.967925732333</v>
      </c>
      <c r="I80" s="24" t="n">
        <f aca="false">I79+H80/60</f>
        <v>4.22128174253187</v>
      </c>
      <c r="J80" s="3" t="str">
        <f aca="false">IF(I80&gt;=$C$33,"Later",INDEX($A$27:$A$33,MATCH(I80,$B$27:$B$33,1)))</f>
        <v>Minutes 1-5</v>
      </c>
      <c r="K80" s="23" t="n">
        <f aca="false">G80*$B$12</f>
        <v>131.099941915</v>
      </c>
      <c r="L80" s="24" t="n">
        <f aca="false">(D80+E80)/K80</f>
        <v>7.98717029293321</v>
      </c>
      <c r="M80" s="24" t="n">
        <f aca="false">M79+L80/60</f>
        <v>1.68851269701275</v>
      </c>
    </row>
    <row r="81" customFormat="false" ht="15" hidden="false" customHeight="false" outlineLevel="0" collapsed="false">
      <c r="A81" s="18" t="n">
        <v>29</v>
      </c>
      <c r="B81" s="18" t="n">
        <f aca="false">MATCH(A81,$C$15:$C$23,1)</f>
        <v>1</v>
      </c>
      <c r="C81" s="27" t="n">
        <f aca="false">IF(AND(B81&gt;1,A81=INDEX($C$15:$C$23,B81)),1,0)</f>
        <v>0</v>
      </c>
      <c r="D81" s="23" t="n">
        <f aca="false">D80*INDEX($D$15:$D$23,B81)</f>
        <v>1235.59872253313</v>
      </c>
      <c r="E81" s="23" t="n">
        <f aca="false">C81*INDEX($F$15:$F$23,B81)*D81</f>
        <v>0</v>
      </c>
      <c r="F81" s="18" t="n">
        <f aca="false">B80</f>
        <v>1</v>
      </c>
      <c r="G81" s="23" t="n">
        <f aca="false">$B$5*$B$6*(1+$B$8)^(A81-1)*INDEX($G$15:$G$23,F81)</f>
        <v>57.6839744425998</v>
      </c>
      <c r="H81" s="24" t="n">
        <f aca="false">(D81+E81)/G81</f>
        <v>21.4201385128663</v>
      </c>
      <c r="I81" s="24" t="n">
        <f aca="false">I80+H81/60</f>
        <v>4.57828405107965</v>
      </c>
      <c r="J81" s="3" t="str">
        <f aca="false">IF(I81&gt;=$C$33,"Later",INDEX($A$27:$A$33,MATCH(I81,$B$27:$B$33,1)))</f>
        <v>Minutes 1-5</v>
      </c>
      <c r="K81" s="23" t="n">
        <f aca="false">G81*$B$12</f>
        <v>144.2099361065</v>
      </c>
      <c r="L81" s="24" t="n">
        <f aca="false">(D81+E81)/K81</f>
        <v>8.56805540514653</v>
      </c>
      <c r="M81" s="24" t="n">
        <f aca="false">M80+L81/60</f>
        <v>1.83131362043186</v>
      </c>
    </row>
    <row r="82" customFormat="false" ht="15" hidden="false" customHeight="false" outlineLevel="0" collapsed="false">
      <c r="A82" s="18" t="n">
        <v>30</v>
      </c>
      <c r="B82" s="18" t="n">
        <f aca="false">MATCH(A82,$C$15:$C$23,1)</f>
        <v>2</v>
      </c>
      <c r="C82" s="27" t="n">
        <f aca="false">IF(AND(B82&gt;1,A82=INDEX($C$15:$C$23,B82)),1,0)</f>
        <v>1</v>
      </c>
      <c r="D82" s="23" t="n">
        <f aca="false">D81*INDEX($D$15:$D$23,B82)</f>
        <v>1532.14241594108</v>
      </c>
      <c r="E82" s="23" t="n">
        <f aca="false">C82*INDEX($F$15:$F$23,B82)*D82</f>
        <v>3064.28483188216</v>
      </c>
      <c r="F82" s="18" t="n">
        <f aca="false">B81</f>
        <v>1</v>
      </c>
      <c r="G82" s="23" t="n">
        <f aca="false">$B$5*$B$6*(1+$B$8)^(A82-1)*INDEX($G$15:$G$23,F82)</f>
        <v>63.4523718868598</v>
      </c>
      <c r="H82" s="24" t="n">
        <f aca="false">(D82+E82)/G82</f>
        <v>72.4390138798752</v>
      </c>
      <c r="I82" s="24" t="n">
        <f aca="false">I81+H82/60</f>
        <v>5.78560094907757</v>
      </c>
      <c r="J82" s="3" t="str">
        <f aca="false">IF(I82&gt;=$C$33,"Later",INDEX($A$27:$A$33,MATCH(I82,$B$27:$B$33,1)))</f>
        <v>Minutes 5-15</v>
      </c>
      <c r="K82" s="23" t="n">
        <f aca="false">G82*$B$12</f>
        <v>158.63092971715</v>
      </c>
      <c r="L82" s="24" t="n">
        <f aca="false">(D82+E82)/K82</f>
        <v>28.9756055519501</v>
      </c>
      <c r="M82" s="24" t="n">
        <f aca="false">M81+L82/60</f>
        <v>2.31424037963103</v>
      </c>
    </row>
    <row r="83" customFormat="false" ht="15" hidden="false" customHeight="false" outlineLevel="0" collapsed="false">
      <c r="A83" s="18" t="n">
        <v>31</v>
      </c>
      <c r="B83" s="18" t="n">
        <f aca="false">MATCH(A83,$C$15:$C$23,1)</f>
        <v>2</v>
      </c>
      <c r="C83" s="27" t="n">
        <f aca="false">IF(AND(B83&gt;1,A83=INDEX($C$15:$C$23,B83)),1,0)</f>
        <v>0</v>
      </c>
      <c r="D83" s="23" t="n">
        <f aca="false">D82*INDEX($D$15:$D$23,B83)</f>
        <v>1899.85659576694</v>
      </c>
      <c r="E83" s="23" t="n">
        <f aca="false">C83*INDEX($F$15:$F$23,B83)*D83</f>
        <v>0</v>
      </c>
      <c r="F83" s="18" t="n">
        <f aca="false">B82</f>
        <v>2</v>
      </c>
      <c r="G83" s="23" t="n">
        <f aca="false">$B$5*$B$6*(1+$B$8)^(A83-1)*INDEX($G$15:$G$23,F83)</f>
        <v>139.595218151092</v>
      </c>
      <c r="H83" s="24" t="n">
        <f aca="false">(D83+E83)/G83</f>
        <v>13.6097541228856</v>
      </c>
      <c r="I83" s="24" t="n">
        <f aca="false">I82+H83/60</f>
        <v>6.01243018445899</v>
      </c>
      <c r="J83" s="3" t="str">
        <f aca="false">IF(I83&gt;=$C$33,"Later",INDEX($A$27:$A$33,MATCH(I83,$B$27:$B$33,1)))</f>
        <v>Minutes 5-15</v>
      </c>
      <c r="K83" s="23" t="n">
        <f aca="false">G83*$B$12</f>
        <v>348.988045377729</v>
      </c>
      <c r="L83" s="24" t="n">
        <f aca="false">(D83+E83)/K83</f>
        <v>5.44390164915426</v>
      </c>
      <c r="M83" s="24" t="n">
        <f aca="false">M82+L83/60</f>
        <v>2.4049720737836</v>
      </c>
    </row>
    <row r="84" customFormat="false" ht="15" hidden="false" customHeight="false" outlineLevel="0" collapsed="false">
      <c r="A84" s="18" t="n">
        <v>32</v>
      </c>
      <c r="B84" s="18" t="n">
        <f aca="false">MATCH(A84,$C$15:$C$23,1)</f>
        <v>2</v>
      </c>
      <c r="C84" s="27" t="n">
        <f aca="false">IF(AND(B84&gt;1,A84=INDEX($C$15:$C$23,B84)),1,0)</f>
        <v>0</v>
      </c>
      <c r="D84" s="23" t="n">
        <f aca="false">D83*INDEX($D$15:$D$23,B84)</f>
        <v>2355.822178751</v>
      </c>
      <c r="E84" s="23" t="n">
        <f aca="false">C84*INDEX($F$15:$F$23,B84)*D84</f>
        <v>0</v>
      </c>
      <c r="F84" s="18" t="n">
        <f aca="false">B83</f>
        <v>2</v>
      </c>
      <c r="G84" s="23" t="n">
        <f aca="false">$B$5*$B$6*(1+$B$8)^(A84-1)*INDEX($G$15:$G$23,F84)</f>
        <v>153.554739966201</v>
      </c>
      <c r="H84" s="24" t="n">
        <f aca="false">(D84+E84)/G84</f>
        <v>15.3419046476165</v>
      </c>
      <c r="I84" s="24" t="n">
        <f aca="false">I83+H84/60</f>
        <v>6.2681285952526</v>
      </c>
      <c r="J84" s="3" t="str">
        <f aca="false">IF(I84&gt;=$C$33,"Later",INDEX($A$27:$A$33,MATCH(I84,$B$27:$B$33,1)))</f>
        <v>Minutes 5-15</v>
      </c>
      <c r="K84" s="23" t="n">
        <f aca="false">G84*$B$12</f>
        <v>383.886849915502</v>
      </c>
      <c r="L84" s="24" t="n">
        <f aca="false">(D84+E84)/K84</f>
        <v>6.13676185904662</v>
      </c>
      <c r="M84" s="24" t="n">
        <f aca="false">M83+L84/60</f>
        <v>2.50725143810104</v>
      </c>
    </row>
    <row r="85" customFormat="false" ht="15" hidden="false" customHeight="false" outlineLevel="0" collapsed="false">
      <c r="A85" s="18" t="n">
        <v>33</v>
      </c>
      <c r="B85" s="18" t="n">
        <f aca="false">MATCH(A85,$C$15:$C$23,1)</f>
        <v>2</v>
      </c>
      <c r="C85" s="27" t="n">
        <f aca="false">IF(AND(B85&gt;1,A85=INDEX($C$15:$C$23,B85)),1,0)</f>
        <v>0</v>
      </c>
      <c r="D85" s="23" t="n">
        <f aca="false">D84*INDEX($D$15:$D$23,B85)</f>
        <v>2921.21950165125</v>
      </c>
      <c r="E85" s="23" t="n">
        <f aca="false">C85*INDEX($F$15:$F$23,B85)*D85</f>
        <v>0</v>
      </c>
      <c r="F85" s="18" t="n">
        <f aca="false">B84</f>
        <v>2</v>
      </c>
      <c r="G85" s="23" t="n">
        <f aca="false">$B$5*$B$6*(1+$B$8)^(A85-1)*INDEX($G$15:$G$23,F85)</f>
        <v>168.910213962821</v>
      </c>
      <c r="H85" s="24" t="n">
        <f aca="false">(D85+E85)/G85</f>
        <v>17.2945106936768</v>
      </c>
      <c r="I85" s="24" t="n">
        <f aca="false">I84+H85/60</f>
        <v>6.55637044014722</v>
      </c>
      <c r="J85" s="3" t="str">
        <f aca="false">IF(I85&gt;=$C$33,"Later",INDEX($A$27:$A$33,MATCH(I85,$B$27:$B$33,1)))</f>
        <v>Minutes 5-15</v>
      </c>
      <c r="K85" s="23" t="n">
        <f aca="false">G85*$B$12</f>
        <v>422.275534907052</v>
      </c>
      <c r="L85" s="24" t="n">
        <f aca="false">(D85+E85)/K85</f>
        <v>6.91780427747073</v>
      </c>
      <c r="M85" s="24" t="n">
        <f aca="false">M84+L85/60</f>
        <v>2.62254817605889</v>
      </c>
    </row>
    <row r="86" customFormat="false" ht="15" hidden="false" customHeight="false" outlineLevel="0" collapsed="false">
      <c r="A86" s="18" t="n">
        <v>34</v>
      </c>
      <c r="B86" s="18" t="n">
        <f aca="false">MATCH(A86,$C$15:$C$23,1)</f>
        <v>2</v>
      </c>
      <c r="C86" s="27" t="n">
        <f aca="false">IF(AND(B86&gt;1,A86=INDEX($C$15:$C$23,B86)),1,0)</f>
        <v>0</v>
      </c>
      <c r="D86" s="23" t="n">
        <f aca="false">D85*INDEX($D$15:$D$23,B86)</f>
        <v>3622.31218204755</v>
      </c>
      <c r="E86" s="23" t="n">
        <f aca="false">C86*INDEX($F$15:$F$23,B86)*D86</f>
        <v>0</v>
      </c>
      <c r="F86" s="18" t="n">
        <f aca="false">B85</f>
        <v>2</v>
      </c>
      <c r="G86" s="23" t="n">
        <f aca="false">$B$5*$B$6*(1+$B$8)^(A86-1)*INDEX($G$15:$G$23,F86)</f>
        <v>185.801235359103</v>
      </c>
      <c r="H86" s="24" t="n">
        <f aca="false">(D86+E86)/G86</f>
        <v>19.4956302365084</v>
      </c>
      <c r="I86" s="24" t="n">
        <f aca="false">I85+H86/60</f>
        <v>6.88129761075569</v>
      </c>
      <c r="J86" s="3" t="str">
        <f aca="false">IF(I86&gt;=$C$33,"Later",INDEX($A$27:$A$33,MATCH(I86,$B$27:$B$33,1)))</f>
        <v>Minutes 5-15</v>
      </c>
      <c r="K86" s="23" t="n">
        <f aca="false">G86*$B$12</f>
        <v>464.503088397757</v>
      </c>
      <c r="L86" s="24" t="n">
        <f aca="false">(D86+E86)/K86</f>
        <v>7.79825209460337</v>
      </c>
      <c r="M86" s="24" t="n">
        <f aca="false">M85+L86/60</f>
        <v>2.75251904430228</v>
      </c>
    </row>
    <row r="87" customFormat="false" ht="15" hidden="false" customHeight="false" outlineLevel="0" collapsed="false">
      <c r="A87" s="18" t="n">
        <v>35</v>
      </c>
      <c r="B87" s="18" t="n">
        <f aca="false">MATCH(A87,$C$15:$C$23,1)</f>
        <v>2</v>
      </c>
      <c r="C87" s="27" t="n">
        <f aca="false">IF(AND(B87&gt;1,A87=INDEX($C$15:$C$23,B87)),1,0)</f>
        <v>0</v>
      </c>
      <c r="D87" s="23" t="n">
        <f aca="false">D86*INDEX($D$15:$D$23,B87)</f>
        <v>4491.66710573896</v>
      </c>
      <c r="E87" s="23" t="n">
        <f aca="false">C87*INDEX($F$15:$F$23,B87)*D87</f>
        <v>0</v>
      </c>
      <c r="F87" s="18" t="n">
        <f aca="false">B86</f>
        <v>2</v>
      </c>
      <c r="G87" s="23" t="n">
        <f aca="false">$B$5*$B$6*(1+$B$8)^(A87-1)*INDEX($G$15:$G$23,F87)</f>
        <v>204.381358895013</v>
      </c>
      <c r="H87" s="24" t="n">
        <f aca="false">(D87+E87)/G87</f>
        <v>21.9768922666095</v>
      </c>
      <c r="I87" s="24" t="n">
        <f aca="false">I86+H87/60</f>
        <v>7.24757914853251</v>
      </c>
      <c r="J87" s="3" t="str">
        <f aca="false">IF(I87&gt;=$C$33,"Later",INDEX($A$27:$A$33,MATCH(I87,$B$27:$B$33,1)))</f>
        <v>Minutes 5-15</v>
      </c>
      <c r="K87" s="23" t="n">
        <f aca="false">G87*$B$12</f>
        <v>510.953397237533</v>
      </c>
      <c r="L87" s="24" t="n">
        <f aca="false">(D87+E87)/K87</f>
        <v>8.7907569066438</v>
      </c>
      <c r="M87" s="24" t="n">
        <f aca="false">M86+L87/60</f>
        <v>2.89903165941301</v>
      </c>
    </row>
    <row r="88" customFormat="false" ht="15" hidden="false" customHeight="false" outlineLevel="0" collapsed="false">
      <c r="A88" s="18" t="n">
        <v>36</v>
      </c>
      <c r="B88" s="18" t="n">
        <f aca="false">MATCH(A88,$C$15:$C$23,1)</f>
        <v>2</v>
      </c>
      <c r="C88" s="27" t="n">
        <f aca="false">IF(AND(B88&gt;1,A88=INDEX($C$15:$C$23,B88)),1,0)</f>
        <v>0</v>
      </c>
      <c r="D88" s="23" t="n">
        <f aca="false">D87*INDEX($D$15:$D$23,B88)</f>
        <v>5569.66721111631</v>
      </c>
      <c r="E88" s="23" t="n">
        <f aca="false">C88*INDEX($F$15:$F$23,B88)*D88</f>
        <v>0</v>
      </c>
      <c r="F88" s="18" t="n">
        <f aca="false">B87</f>
        <v>2</v>
      </c>
      <c r="G88" s="23" t="n">
        <f aca="false">$B$5*$B$6*(1+$B$8)^(A88-1)*INDEX($G$15:$G$23,F88)</f>
        <v>224.819494784515</v>
      </c>
      <c r="H88" s="24" t="n">
        <f aca="false">(D88+E88)/G88</f>
        <v>24.7739512823598</v>
      </c>
      <c r="I88" s="24" t="n">
        <f aca="false">I87+H88/60</f>
        <v>7.66047833657184</v>
      </c>
      <c r="J88" s="3" t="str">
        <f aca="false">IF(I88&gt;=$C$33,"Later",INDEX($A$27:$A$33,MATCH(I88,$B$27:$B$33,1)))</f>
        <v>Minutes 5-15</v>
      </c>
      <c r="K88" s="23" t="n">
        <f aca="false">G88*$B$12</f>
        <v>562.048736961287</v>
      </c>
      <c r="L88" s="24" t="n">
        <f aca="false">(D88+E88)/K88</f>
        <v>9.90958051294392</v>
      </c>
      <c r="M88" s="24" t="n">
        <f aca="false">M87+L88/60</f>
        <v>3.06419133462874</v>
      </c>
    </row>
    <row r="89" customFormat="false" ht="15" hidden="false" customHeight="false" outlineLevel="0" collapsed="false">
      <c r="A89" s="18" t="n">
        <v>37</v>
      </c>
      <c r="B89" s="18" t="n">
        <f aca="false">MATCH(A89,$C$15:$C$23,1)</f>
        <v>2</v>
      </c>
      <c r="C89" s="27" t="n">
        <f aca="false">IF(AND(B89&gt;1,A89=INDEX($C$15:$C$23,B89)),1,0)</f>
        <v>0</v>
      </c>
      <c r="D89" s="23" t="n">
        <f aca="false">D88*INDEX($D$15:$D$23,B89)</f>
        <v>6906.38734178422</v>
      </c>
      <c r="E89" s="23" t="n">
        <f aca="false">C89*INDEX($F$15:$F$23,B89)*D89</f>
        <v>0</v>
      </c>
      <c r="F89" s="18" t="n">
        <f aca="false">B88</f>
        <v>2</v>
      </c>
      <c r="G89" s="23" t="n">
        <f aca="false">$B$5*$B$6*(1+$B$8)^(A89-1)*INDEX($G$15:$G$23,F89)</f>
        <v>247.301444262966</v>
      </c>
      <c r="H89" s="24" t="n">
        <f aca="false">(D89+E89)/G89</f>
        <v>27.9269996273874</v>
      </c>
      <c r="I89" s="24" t="n">
        <f aca="false">I88+H89/60</f>
        <v>8.12592833036163</v>
      </c>
      <c r="J89" s="3" t="str">
        <f aca="false">IF(I89&gt;=$C$33,"Later",INDEX($A$27:$A$33,MATCH(I89,$B$27:$B$33,1)))</f>
        <v>Minutes 5-15</v>
      </c>
      <c r="K89" s="23" t="n">
        <f aca="false">G89*$B$12</f>
        <v>618.253610657415</v>
      </c>
      <c r="L89" s="24" t="n">
        <f aca="false">(D89+E89)/K89</f>
        <v>11.170799850955</v>
      </c>
      <c r="M89" s="24" t="n">
        <f aca="false">M88+L89/60</f>
        <v>3.25037133214465</v>
      </c>
    </row>
    <row r="90" customFormat="false" ht="15" hidden="false" customHeight="false" outlineLevel="0" collapsed="false">
      <c r="A90" s="18" t="n">
        <v>38</v>
      </c>
      <c r="B90" s="18" t="n">
        <f aca="false">MATCH(A90,$C$15:$C$23,1)</f>
        <v>2</v>
      </c>
      <c r="C90" s="27" t="n">
        <f aca="false">IF(AND(B90&gt;1,A90=INDEX($C$15:$C$23,B90)),1,0)</f>
        <v>0</v>
      </c>
      <c r="D90" s="23" t="n">
        <f aca="false">D89*INDEX($D$15:$D$23,B90)</f>
        <v>8563.92030381243</v>
      </c>
      <c r="E90" s="23" t="n">
        <f aca="false">C90*INDEX($F$15:$F$23,B90)*D90</f>
        <v>0</v>
      </c>
      <c r="F90" s="18" t="n">
        <f aca="false">B89</f>
        <v>2</v>
      </c>
      <c r="G90" s="23" t="n">
        <f aca="false">$B$5*$B$6*(1+$B$8)^(A90-1)*INDEX($G$15:$G$23,F90)</f>
        <v>272.031588689263</v>
      </c>
      <c r="H90" s="24" t="n">
        <f aca="false">(D90+E90)/G90</f>
        <v>31.4813450345094</v>
      </c>
      <c r="I90" s="24" t="n">
        <f aca="false">I89+H90/60</f>
        <v>8.65061741427012</v>
      </c>
      <c r="J90" s="3" t="str">
        <f aca="false">IF(I90&gt;=$C$33,"Later",INDEX($A$27:$A$33,MATCH(I90,$B$27:$B$33,1)))</f>
        <v>Minutes 5-15</v>
      </c>
      <c r="K90" s="23" t="n">
        <f aca="false">G90*$B$12</f>
        <v>680.078971723157</v>
      </c>
      <c r="L90" s="24" t="n">
        <f aca="false">(D90+E90)/K90</f>
        <v>12.5925380138038</v>
      </c>
      <c r="M90" s="24" t="n">
        <f aca="false">M89+L90/60</f>
        <v>3.46024696570805</v>
      </c>
    </row>
    <row r="91" customFormat="false" ht="15" hidden="false" customHeight="false" outlineLevel="0" collapsed="false">
      <c r="A91" s="18" t="n">
        <v>39</v>
      </c>
      <c r="B91" s="18" t="n">
        <f aca="false">MATCH(A91,$C$15:$C$23,1)</f>
        <v>2</v>
      </c>
      <c r="C91" s="27" t="n">
        <f aca="false">IF(AND(B91&gt;1,A91=INDEX($C$15:$C$23,B91)),1,0)</f>
        <v>0</v>
      </c>
      <c r="D91" s="23" t="n">
        <f aca="false">D90*INDEX($D$15:$D$23,B91)</f>
        <v>10619.2611767274</v>
      </c>
      <c r="E91" s="23" t="n">
        <f aca="false">C91*INDEX($F$15:$F$23,B91)*D91</f>
        <v>0</v>
      </c>
      <c r="F91" s="18" t="n">
        <f aca="false">B90</f>
        <v>2</v>
      </c>
      <c r="G91" s="23" t="n">
        <f aca="false">$B$5*$B$6*(1+$B$8)^(A91-1)*INDEX($G$15:$G$23,F91)</f>
        <v>299.234747558189</v>
      </c>
      <c r="H91" s="24" t="n">
        <f aca="false">(D91+E91)/G91</f>
        <v>35.4880616752652</v>
      </c>
      <c r="I91" s="24" t="n">
        <f aca="false">I90+H91/60</f>
        <v>9.24208510885788</v>
      </c>
      <c r="J91" s="3" t="str">
        <f aca="false">IF(I91&gt;=$C$33,"Later",INDEX($A$27:$A$33,MATCH(I91,$B$27:$B$33,1)))</f>
        <v>Minutes 5-15</v>
      </c>
      <c r="K91" s="23" t="n">
        <f aca="false">G91*$B$12</f>
        <v>748.086868895473</v>
      </c>
      <c r="L91" s="24" t="n">
        <f aca="false">(D91+E91)/K91</f>
        <v>14.1952246701061</v>
      </c>
      <c r="M91" s="24" t="n">
        <f aca="false">M90+L91/60</f>
        <v>3.69683404354315</v>
      </c>
    </row>
    <row r="92" customFormat="false" ht="15" hidden="false" customHeight="false" outlineLevel="0" collapsed="false">
      <c r="A92" s="18" t="n">
        <v>40</v>
      </c>
      <c r="B92" s="18" t="n">
        <f aca="false">MATCH(A92,$C$15:$C$23,1)</f>
        <v>2</v>
      </c>
      <c r="C92" s="27" t="n">
        <f aca="false">IF(AND(B92&gt;1,A92=INDEX($C$15:$C$23,B92)),1,0)</f>
        <v>0</v>
      </c>
      <c r="D92" s="23" t="n">
        <f aca="false">D91*INDEX($D$15:$D$23,B92)</f>
        <v>13167.883859142</v>
      </c>
      <c r="E92" s="23" t="n">
        <f aca="false">C92*INDEX($F$15:$F$23,B92)*D92</f>
        <v>0</v>
      </c>
      <c r="F92" s="18" t="n">
        <f aca="false">B91</f>
        <v>2</v>
      </c>
      <c r="G92" s="23" t="n">
        <f aca="false">$B$5*$B$6*(1+$B$8)^(A92-1)*INDEX($G$15:$G$23,F92)</f>
        <v>329.158222314008</v>
      </c>
      <c r="H92" s="24" t="n">
        <f aca="false">(D92+E92)/G92</f>
        <v>40.0047240702989</v>
      </c>
      <c r="I92" s="24" t="n">
        <f aca="false">I91+H92/60</f>
        <v>9.90883051002952</v>
      </c>
      <c r="J92" s="3" t="str">
        <f aca="false">IF(I92&gt;=$C$33,"Later",INDEX($A$27:$A$33,MATCH(I92,$B$27:$B$33,1)))</f>
        <v>Minutes 5-15</v>
      </c>
      <c r="K92" s="23" t="n">
        <f aca="false">G92*$B$12</f>
        <v>822.89555578502</v>
      </c>
      <c r="L92" s="24" t="n">
        <f aca="false">(D92+E92)/K92</f>
        <v>16.0018896281196</v>
      </c>
      <c r="M92" s="24" t="n">
        <f aca="false">M91+L92/60</f>
        <v>3.96353220401181</v>
      </c>
    </row>
    <row r="93" customFormat="false" ht="15" hidden="false" customHeight="false" outlineLevel="0" collapsed="false">
      <c r="A93" s="18" t="n">
        <v>41</v>
      </c>
      <c r="B93" s="18" t="n">
        <f aca="false">MATCH(A93,$C$15:$C$23,1)</f>
        <v>2</v>
      </c>
      <c r="C93" s="27" t="n">
        <f aca="false">IF(AND(B93&gt;1,A93=INDEX($C$15:$C$23,B93)),1,0)</f>
        <v>0</v>
      </c>
      <c r="D93" s="23" t="n">
        <f aca="false">D92*INDEX($D$15:$D$23,B93)</f>
        <v>16328.1759853361</v>
      </c>
      <c r="E93" s="23" t="n">
        <f aca="false">C93*INDEX($F$15:$F$23,B93)*D93</f>
        <v>0</v>
      </c>
      <c r="F93" s="18" t="n">
        <f aca="false">B92</f>
        <v>2</v>
      </c>
      <c r="G93" s="23" t="n">
        <f aca="false">$B$5*$B$6*(1+$B$8)^(A93-1)*INDEX($G$15:$G$23,F93)</f>
        <v>362.074044545409</v>
      </c>
      <c r="H93" s="24" t="n">
        <f aca="false">(D93+E93)/G93</f>
        <v>45.0962344065188</v>
      </c>
      <c r="I93" s="24" t="n">
        <f aca="false">I92+H93/60</f>
        <v>10.6604344168048</v>
      </c>
      <c r="J93" s="3" t="str">
        <f aca="false">IF(I93&gt;=$C$33,"Later",INDEX($A$27:$A$33,MATCH(I93,$B$27:$B$33,1)))</f>
        <v>Minutes 5-15</v>
      </c>
      <c r="K93" s="23" t="n">
        <f aca="false">G93*$B$12</f>
        <v>905.185111363522</v>
      </c>
      <c r="L93" s="24" t="n">
        <f aca="false">(D93+E93)/K93</f>
        <v>18.0384937626075</v>
      </c>
      <c r="M93" s="24" t="n">
        <f aca="false">M92+L93/60</f>
        <v>4.26417376672193</v>
      </c>
    </row>
    <row r="94" customFormat="false" ht="15" hidden="false" customHeight="false" outlineLevel="0" collapsed="false">
      <c r="A94" s="18" t="n">
        <v>42</v>
      </c>
      <c r="B94" s="18" t="n">
        <f aca="false">MATCH(A94,$C$15:$C$23,1)</f>
        <v>2</v>
      </c>
      <c r="C94" s="27" t="n">
        <f aca="false">IF(AND(B94&gt;1,A94=INDEX($C$15:$C$23,B94)),1,0)</f>
        <v>0</v>
      </c>
      <c r="D94" s="23" t="n">
        <f aca="false">D93*INDEX($D$15:$D$23,B94)</f>
        <v>20246.9382218167</v>
      </c>
      <c r="E94" s="23" t="n">
        <f aca="false">C94*INDEX($F$15:$F$23,B94)*D94</f>
        <v>0</v>
      </c>
      <c r="F94" s="18" t="n">
        <f aca="false">B93</f>
        <v>2</v>
      </c>
      <c r="G94" s="23" t="n">
        <f aca="false">$B$5*$B$6*(1+$B$8)^(A94-1)*INDEX($G$15:$G$23,F94)</f>
        <v>398.28144899995</v>
      </c>
      <c r="H94" s="24" t="n">
        <f aca="false">(D94+E94)/G94</f>
        <v>50.8357551491666</v>
      </c>
      <c r="I94" s="24" t="n">
        <f aca="false">I93+H94/60</f>
        <v>11.5076970026243</v>
      </c>
      <c r="J94" s="3" t="str">
        <f aca="false">IF(I94&gt;=$C$33,"Later",INDEX($A$27:$A$33,MATCH(I94,$B$27:$B$33,1)))</f>
        <v>Minutes 5-15</v>
      </c>
      <c r="K94" s="23" t="n">
        <f aca="false">G94*$B$12</f>
        <v>995.703622499874</v>
      </c>
      <c r="L94" s="24" t="n">
        <f aca="false">(D94+E94)/K94</f>
        <v>20.3343020596666</v>
      </c>
      <c r="M94" s="24" t="n">
        <f aca="false">M93+L94/60</f>
        <v>4.60307880104971</v>
      </c>
    </row>
    <row r="95" customFormat="false" ht="15" hidden="false" customHeight="false" outlineLevel="0" collapsed="false">
      <c r="A95" s="18" t="n">
        <v>43</v>
      </c>
      <c r="B95" s="18" t="n">
        <f aca="false">MATCH(A95,$C$15:$C$23,1)</f>
        <v>2</v>
      </c>
      <c r="C95" s="27" t="n">
        <f aca="false">IF(AND(B95&gt;1,A95=INDEX($C$15:$C$23,B95)),1,0)</f>
        <v>0</v>
      </c>
      <c r="D95" s="23" t="n">
        <f aca="false">D94*INDEX($D$15:$D$23,B95)</f>
        <v>25106.2033950527</v>
      </c>
      <c r="E95" s="23" t="n">
        <f aca="false">C95*INDEX($F$15:$F$23,B95)*D95</f>
        <v>0</v>
      </c>
      <c r="F95" s="18" t="n">
        <f aca="false">B94</f>
        <v>2</v>
      </c>
      <c r="G95" s="23" t="n">
        <f aca="false">$B$5*$B$6*(1+$B$8)^(A95-1)*INDEX($G$15:$G$23,F95)</f>
        <v>438.109593899945</v>
      </c>
      <c r="H95" s="24" t="n">
        <f aca="false">(D95+E95)/G95</f>
        <v>57.3057603499696</v>
      </c>
      <c r="I95" s="24" t="n">
        <f aca="false">I94+H95/60</f>
        <v>12.4627930084571</v>
      </c>
      <c r="J95" s="3" t="str">
        <f aca="false">IF(I95&gt;=$C$33,"Later",INDEX($A$27:$A$33,MATCH(I95,$B$27:$B$33,1)))</f>
        <v>Minutes 5-15</v>
      </c>
      <c r="K95" s="23" t="n">
        <f aca="false">G95*$B$12</f>
        <v>1095.27398474986</v>
      </c>
      <c r="L95" s="24" t="n">
        <f aca="false">(D95+E95)/K95</f>
        <v>22.9223041399879</v>
      </c>
      <c r="M95" s="24" t="n">
        <f aca="false">M94+L95/60</f>
        <v>4.98511720338284</v>
      </c>
    </row>
    <row r="96" customFormat="false" ht="15" hidden="false" customHeight="false" outlineLevel="0" collapsed="false">
      <c r="A96" s="18" t="n">
        <v>44</v>
      </c>
      <c r="B96" s="18" t="n">
        <f aca="false">MATCH(A96,$C$15:$C$23,1)</f>
        <v>3</v>
      </c>
      <c r="C96" s="27" t="n">
        <f aca="false">IF(AND(B96&gt;1,A96=INDEX($C$15:$C$23,B96)),1,0)</f>
        <v>1</v>
      </c>
      <c r="D96" s="23" t="n">
        <f aca="false">D95*INDEX($D$15:$D$23,B96)</f>
        <v>32638.0644135686</v>
      </c>
      <c r="E96" s="23" t="n">
        <f aca="false">C96*INDEX($F$15:$F$23,B96)*D96</f>
        <v>195828.386481411</v>
      </c>
      <c r="F96" s="18" t="n">
        <f aca="false">B95</f>
        <v>2</v>
      </c>
      <c r="G96" s="23" t="n">
        <f aca="false">$B$5*$B$6*(1+$B$8)^(A96-1)*INDEX($G$15:$G$23,F96)</f>
        <v>481.920553289939</v>
      </c>
      <c r="H96" s="24" t="n">
        <f aca="false">(D96+E96)/G96</f>
        <v>474.074926531567</v>
      </c>
      <c r="I96" s="24" t="n">
        <f aca="false">I95+H96/60</f>
        <v>20.3640417839832</v>
      </c>
      <c r="J96" s="3" t="str">
        <f aca="false">IF(I96&gt;=$C$33,"Later",INDEX($A$27:$A$33,MATCH(I96,$B$27:$B$33,1)))</f>
        <v>Minutes 15-30</v>
      </c>
      <c r="K96" s="23" t="n">
        <f aca="false">G96*$B$12</f>
        <v>1204.80138322485</v>
      </c>
      <c r="L96" s="24" t="n">
        <f aca="false">(D96+E96)/K96</f>
        <v>189.629970612627</v>
      </c>
      <c r="M96" s="24" t="n">
        <f aca="false">M95+L96/60</f>
        <v>8.14561671359329</v>
      </c>
    </row>
    <row r="97" customFormat="false" ht="15" hidden="false" customHeight="false" outlineLevel="0" collapsed="false">
      <c r="A97" s="18" t="n">
        <v>45</v>
      </c>
      <c r="B97" s="18" t="n">
        <f aca="false">MATCH(A97,$C$15:$C$23,1)</f>
        <v>3</v>
      </c>
      <c r="C97" s="27" t="n">
        <f aca="false">IF(AND(B97&gt;1,A97=INDEX($C$15:$C$23,B97)),1,0)</f>
        <v>0</v>
      </c>
      <c r="D97" s="23" t="n">
        <f aca="false">D96*INDEX($D$15:$D$23,B97)</f>
        <v>42429.4837376391</v>
      </c>
      <c r="E97" s="23" t="n">
        <f aca="false">C97*INDEX($F$15:$F$23,B97)*D97</f>
        <v>0</v>
      </c>
      <c r="F97" s="18" t="n">
        <f aca="false">B96</f>
        <v>3</v>
      </c>
      <c r="G97" s="23" t="n">
        <f aca="false">$B$5*$B$6*(1+$B$8)^(A97-1)*INDEX($G$15:$G$23,F97)</f>
        <v>848.180173790293</v>
      </c>
      <c r="H97" s="24" t="n">
        <f aca="false">(D97+E97)/G97</f>
        <v>50.0241399749218</v>
      </c>
      <c r="I97" s="24" t="n">
        <f aca="false">I96+H97/60</f>
        <v>21.1977774502319</v>
      </c>
      <c r="J97" s="3" t="str">
        <f aca="false">IF(I97&gt;=$C$33,"Later",INDEX($A$27:$A$33,MATCH(I97,$B$27:$B$33,1)))</f>
        <v>Minutes 15-30</v>
      </c>
      <c r="K97" s="23" t="n">
        <f aca="false">G97*$B$12</f>
        <v>2120.45043447573</v>
      </c>
      <c r="L97" s="24" t="n">
        <f aca="false">(D97+E97)/K97</f>
        <v>20.0096559899687</v>
      </c>
      <c r="M97" s="24" t="n">
        <f aca="false">M96+L97/60</f>
        <v>8.47911098009277</v>
      </c>
    </row>
    <row r="98" customFormat="false" ht="15" hidden="false" customHeight="false" outlineLevel="0" collapsed="false">
      <c r="A98" s="18" t="n">
        <v>46</v>
      </c>
      <c r="B98" s="18" t="n">
        <f aca="false">MATCH(A98,$C$15:$C$23,1)</f>
        <v>3</v>
      </c>
      <c r="C98" s="27" t="n">
        <f aca="false">IF(AND(B98&gt;1,A98=INDEX($C$15:$C$23,B98)),1,0)</f>
        <v>0</v>
      </c>
      <c r="D98" s="23" t="n">
        <f aca="false">D97*INDEX($D$15:$D$23,B98)</f>
        <v>55158.3288589309</v>
      </c>
      <c r="E98" s="23" t="n">
        <f aca="false">C98*INDEX($F$15:$F$23,B98)*D98</f>
        <v>0</v>
      </c>
      <c r="F98" s="18" t="n">
        <f aca="false">B97</f>
        <v>3</v>
      </c>
      <c r="G98" s="23" t="n">
        <f aca="false">$B$5*$B$6*(1+$B$8)^(A98-1)*INDEX($G$15:$G$23,F98)</f>
        <v>932.998191169323</v>
      </c>
      <c r="H98" s="24" t="n">
        <f aca="false">(D98+E98)/G98</f>
        <v>59.1194381521803</v>
      </c>
      <c r="I98" s="24" t="n">
        <f aca="false">I97+H98/60</f>
        <v>22.1831014194349</v>
      </c>
      <c r="J98" s="3" t="str">
        <f aca="false">IF(I98&gt;=$C$33,"Later",INDEX($A$27:$A$33,MATCH(I98,$B$27:$B$33,1)))</f>
        <v>Minutes 15-30</v>
      </c>
      <c r="K98" s="23" t="n">
        <f aca="false">G98*$B$12</f>
        <v>2332.49547792331</v>
      </c>
      <c r="L98" s="24" t="n">
        <f aca="false">(D98+E98)/K98</f>
        <v>23.6477752608721</v>
      </c>
      <c r="M98" s="24" t="n">
        <f aca="false">M97+L98/60</f>
        <v>8.87324056777397</v>
      </c>
    </row>
    <row r="99" customFormat="false" ht="15" hidden="false" customHeight="false" outlineLevel="0" collapsed="false">
      <c r="A99" s="18" t="n">
        <v>47</v>
      </c>
      <c r="B99" s="18" t="n">
        <f aca="false">MATCH(A99,$C$15:$C$23,1)</f>
        <v>3</v>
      </c>
      <c r="C99" s="27" t="n">
        <f aca="false">IF(AND(B99&gt;1,A99=INDEX($C$15:$C$23,B99)),1,0)</f>
        <v>0</v>
      </c>
      <c r="D99" s="23" t="n">
        <f aca="false">D98*INDEX($D$15:$D$23,B99)</f>
        <v>71705.8275166102</v>
      </c>
      <c r="E99" s="23" t="n">
        <f aca="false">C99*INDEX($F$15:$F$23,B99)*D99</f>
        <v>0</v>
      </c>
      <c r="F99" s="18" t="n">
        <f aca="false">B98</f>
        <v>3</v>
      </c>
      <c r="G99" s="23" t="n">
        <f aca="false">$B$5*$B$6*(1+$B$8)^(A99-1)*INDEX($G$15:$G$23,F99)</f>
        <v>1026.29801028625</v>
      </c>
      <c r="H99" s="24" t="n">
        <f aca="false">(D99+E99)/G99</f>
        <v>69.8684269071222</v>
      </c>
      <c r="I99" s="24" t="n">
        <f aca="false">I98+H99/60</f>
        <v>23.3475752012203</v>
      </c>
      <c r="J99" s="3" t="str">
        <f aca="false">IF(I99&gt;=$C$33,"Later",INDEX($A$27:$A$33,MATCH(I99,$B$27:$B$33,1)))</f>
        <v>Minutes 15-30</v>
      </c>
      <c r="K99" s="23" t="n">
        <f aca="false">G99*$B$12</f>
        <v>2565.74502571564</v>
      </c>
      <c r="L99" s="24" t="n">
        <f aca="false">(D99+E99)/K99</f>
        <v>27.9473707628489</v>
      </c>
      <c r="M99" s="24" t="n">
        <f aca="false">M98+L99/60</f>
        <v>9.33903008048812</v>
      </c>
    </row>
    <row r="100" customFormat="false" ht="15" hidden="false" customHeight="false" outlineLevel="0" collapsed="false">
      <c r="A100" s="18" t="n">
        <v>48</v>
      </c>
      <c r="B100" s="18" t="n">
        <f aca="false">MATCH(A100,$C$15:$C$23,1)</f>
        <v>3</v>
      </c>
      <c r="C100" s="27" t="n">
        <f aca="false">IF(AND(B100&gt;1,A100=INDEX($C$15:$C$23,B100)),1,0)</f>
        <v>0</v>
      </c>
      <c r="D100" s="23" t="n">
        <f aca="false">D99*INDEX($D$15:$D$23,B100)</f>
        <v>93217.5757715932</v>
      </c>
      <c r="E100" s="23" t="n">
        <f aca="false">C100*INDEX($F$15:$F$23,B100)*D100</f>
        <v>0</v>
      </c>
      <c r="F100" s="18" t="n">
        <f aca="false">B99</f>
        <v>3</v>
      </c>
      <c r="G100" s="23" t="n">
        <f aca="false">$B$5*$B$6*(1+$B$8)^(A100-1)*INDEX($G$15:$G$23,F100)</f>
        <v>1128.92781131488</v>
      </c>
      <c r="H100" s="24" t="n">
        <f aca="false">(D100+E100)/G100</f>
        <v>82.5717772538717</v>
      </c>
      <c r="I100" s="24" t="n">
        <f aca="false">I99+H100/60</f>
        <v>24.7237714887848</v>
      </c>
      <c r="J100" s="3" t="str">
        <f aca="false">IF(I100&gt;=$C$33,"Later",INDEX($A$27:$A$33,MATCH(I100,$B$27:$B$33,1)))</f>
        <v>Minutes 15-30</v>
      </c>
      <c r="K100" s="23" t="n">
        <f aca="false">G100*$B$12</f>
        <v>2822.3195282872</v>
      </c>
      <c r="L100" s="24" t="n">
        <f aca="false">(D100+E100)/K100</f>
        <v>33.0287109015487</v>
      </c>
      <c r="M100" s="24" t="n">
        <f aca="false">M99+L100/60</f>
        <v>9.88950859551393</v>
      </c>
    </row>
    <row r="101" customFormat="false" ht="15" hidden="false" customHeight="false" outlineLevel="0" collapsed="false">
      <c r="A101" s="18" t="n">
        <v>49</v>
      </c>
      <c r="B101" s="18" t="n">
        <f aca="false">MATCH(A101,$C$15:$C$23,1)</f>
        <v>3</v>
      </c>
      <c r="C101" s="27" t="n">
        <f aca="false">IF(AND(B101&gt;1,A101=INDEX($C$15:$C$23,B101)),1,0)</f>
        <v>0</v>
      </c>
      <c r="D101" s="23" t="n">
        <f aca="false">D100*INDEX($D$15:$D$23,B101)</f>
        <v>121182.848503071</v>
      </c>
      <c r="E101" s="23" t="n">
        <f aca="false">C101*INDEX($F$15:$F$23,B101)*D101</f>
        <v>0</v>
      </c>
      <c r="F101" s="18" t="n">
        <f aca="false">B100</f>
        <v>3</v>
      </c>
      <c r="G101" s="23" t="n">
        <f aca="false">$B$5*$B$6*(1+$B$8)^(A101-1)*INDEX($G$15:$G$23,F101)</f>
        <v>1241.82059244637</v>
      </c>
      <c r="H101" s="24" t="n">
        <f aca="false">(D101+E101)/G101</f>
        <v>97.5848276636665</v>
      </c>
      <c r="I101" s="24" t="n">
        <f aca="false">I100+H101/60</f>
        <v>26.3501852831793</v>
      </c>
      <c r="J101" s="3" t="str">
        <f aca="false">IF(I101&gt;=$C$33,"Later",INDEX($A$27:$A$33,MATCH(I101,$B$27:$B$33,1)))</f>
        <v>Minutes 15-30</v>
      </c>
      <c r="K101" s="23" t="n">
        <f aca="false">G101*$B$12</f>
        <v>3104.55148111592</v>
      </c>
      <c r="L101" s="24" t="n">
        <f aca="false">(D101+E101)/K101</f>
        <v>39.0339310654666</v>
      </c>
      <c r="M101" s="24" t="n">
        <f aca="false">M100+L101/60</f>
        <v>10.5400741132717</v>
      </c>
    </row>
    <row r="102" customFormat="false" ht="15" hidden="false" customHeight="false" outlineLevel="0" collapsed="false">
      <c r="A102" s="18" t="n">
        <v>50</v>
      </c>
      <c r="B102" s="18" t="n">
        <f aca="false">MATCH(A102,$C$15:$C$23,1)</f>
        <v>3</v>
      </c>
      <c r="C102" s="27" t="n">
        <f aca="false">IF(AND(B102&gt;1,A102=INDEX($C$15:$C$23,B102)),1,0)</f>
        <v>0</v>
      </c>
      <c r="D102" s="23" t="n">
        <f aca="false">D101*INDEX($D$15:$D$23,B102)</f>
        <v>157537.703053993</v>
      </c>
      <c r="E102" s="23" t="n">
        <f aca="false">C102*INDEX($F$15:$F$23,B102)*D102</f>
        <v>0</v>
      </c>
      <c r="F102" s="18" t="n">
        <f aca="false">B101</f>
        <v>3</v>
      </c>
      <c r="G102" s="23" t="n">
        <f aca="false">$B$5*$B$6*(1+$B$8)^(A102-1)*INDEX($G$15:$G$23,F102)</f>
        <v>1366.00265169101</v>
      </c>
      <c r="H102" s="24" t="n">
        <f aca="false">(D102+E102)/G102</f>
        <v>115.327523602515</v>
      </c>
      <c r="I102" s="24" t="n">
        <f aca="false">I101+H102/60</f>
        <v>28.2723106765545</v>
      </c>
      <c r="J102" s="3" t="str">
        <f aca="false">IF(I102&gt;=$C$33,"Later",INDEX($A$27:$A$33,MATCH(I102,$B$27:$B$33,1)))</f>
        <v>Minutes 15-30</v>
      </c>
      <c r="K102" s="23" t="n">
        <f aca="false">G102*$B$12</f>
        <v>3415.00662922751</v>
      </c>
      <c r="L102" s="24" t="n">
        <f aca="false">(D102+E102)/K102</f>
        <v>46.131009441006</v>
      </c>
      <c r="M102" s="24" t="n">
        <f aca="false">M101+L102/60</f>
        <v>11.3089242706218</v>
      </c>
    </row>
    <row r="103" customFormat="false" ht="15" hidden="false" customHeight="false" outlineLevel="0" collapsed="false">
      <c r="A103" s="18" t="n">
        <v>51</v>
      </c>
      <c r="B103" s="18" t="n">
        <f aca="false">MATCH(A103,$C$15:$C$23,1)</f>
        <v>3</v>
      </c>
      <c r="C103" s="27" t="n">
        <f aca="false">IF(AND(B103&gt;1,A103=INDEX($C$15:$C$23,B103)),1,0)</f>
        <v>0</v>
      </c>
      <c r="D103" s="23" t="n">
        <f aca="false">D102*INDEX($D$15:$D$23,B103)</f>
        <v>204799.01397019</v>
      </c>
      <c r="E103" s="23" t="n">
        <f aca="false">C103*INDEX($F$15:$F$23,B103)*D103</f>
        <v>0</v>
      </c>
      <c r="F103" s="18" t="n">
        <f aca="false">B102</f>
        <v>3</v>
      </c>
      <c r="G103" s="23" t="n">
        <f aca="false">$B$5*$B$6*(1+$B$8)^(A103-1)*INDEX($G$15:$G$23,F103)</f>
        <v>1502.60291686011</v>
      </c>
      <c r="H103" s="24" t="n">
        <f aca="false">(D103+E103)/G103</f>
        <v>136.296164257518</v>
      </c>
      <c r="I103" s="24" t="n">
        <f aca="false">I102+H103/60</f>
        <v>30.5439134141798</v>
      </c>
      <c r="J103" s="3" t="str">
        <f aca="false">IF(I103&gt;=$C$33,"Later",INDEX($A$27:$A$33,MATCH(I103,$B$27:$B$33,1)))</f>
        <v>Minutes 30-60</v>
      </c>
      <c r="K103" s="23" t="n">
        <f aca="false">G103*$B$12</f>
        <v>3756.50729215027</v>
      </c>
      <c r="L103" s="24" t="n">
        <f aca="false">(D103+E103)/K103</f>
        <v>54.5184657030071</v>
      </c>
      <c r="M103" s="24" t="n">
        <f aca="false">M102+L103/60</f>
        <v>12.2175653656719</v>
      </c>
    </row>
    <row r="104" customFormat="false" ht="15" hidden="false" customHeight="false" outlineLevel="0" collapsed="false">
      <c r="A104" s="18" t="n">
        <v>52</v>
      </c>
      <c r="B104" s="18" t="n">
        <f aca="false">MATCH(A104,$C$15:$C$23,1)</f>
        <v>4</v>
      </c>
      <c r="C104" s="27" t="n">
        <f aca="false">IF(AND(B104&gt;1,A104=INDEX($C$15:$C$23,B104)),1,0)</f>
        <v>1</v>
      </c>
      <c r="D104" s="23" t="n">
        <f aca="false">D103*INDEX($D$15:$D$23,B104)</f>
        <v>262142.737881844</v>
      </c>
      <c r="E104" s="23" t="n">
        <f aca="false">C104*INDEX($F$15:$F$23,B104)*D104</f>
        <v>524285.475763687</v>
      </c>
      <c r="F104" s="18" t="n">
        <f aca="false">B103</f>
        <v>3</v>
      </c>
      <c r="G104" s="23" t="n">
        <f aca="false">$B$5*$B$6*(1+$B$8)^(A104-1)*INDEX($G$15:$G$23,F104)</f>
        <v>1652.86320854612</v>
      </c>
      <c r="H104" s="24" t="n">
        <f aca="false">(D104+E104)/G104</f>
        <v>475.797518862607</v>
      </c>
      <c r="I104" s="24" t="n">
        <f aca="false">I103+H104/60</f>
        <v>38.4738720618899</v>
      </c>
      <c r="J104" s="3" t="str">
        <f aca="false">IF(I104&gt;=$C$33,"Later",INDEX($A$27:$A$33,MATCH(I104,$B$27:$B$33,1)))</f>
        <v>Minutes 30-60</v>
      </c>
      <c r="K104" s="23" t="n">
        <f aca="false">G104*$B$12</f>
        <v>4132.15802136529</v>
      </c>
      <c r="L104" s="24" t="n">
        <f aca="false">(D104+E104)/K104</f>
        <v>190.319007545043</v>
      </c>
      <c r="M104" s="24" t="n">
        <f aca="false">M103+L104/60</f>
        <v>15.389548824756</v>
      </c>
    </row>
    <row r="105" customFormat="false" ht="15" hidden="false" customHeight="false" outlineLevel="0" collapsed="false">
      <c r="A105" s="18" t="n">
        <v>53</v>
      </c>
      <c r="B105" s="18" t="n">
        <f aca="false">MATCH(A105,$C$15:$C$23,1)</f>
        <v>4</v>
      </c>
      <c r="C105" s="27" t="n">
        <f aca="false">IF(AND(B105&gt;1,A105=INDEX($C$15:$C$23,B105)),1,0)</f>
        <v>0</v>
      </c>
      <c r="D105" s="23" t="n">
        <f aca="false">D104*INDEX($D$15:$D$23,B105)</f>
        <v>335542.70448876</v>
      </c>
      <c r="E105" s="23" t="n">
        <f aca="false">C105*INDEX($F$15:$F$23,B105)*D105</f>
        <v>0</v>
      </c>
      <c r="F105" s="18" t="n">
        <f aca="false">B104</f>
        <v>4</v>
      </c>
      <c r="G105" s="23" t="n">
        <f aca="false">$B$5*$B$6*(1+$B$8)^(A105-1)*INDEX($G$15:$G$23,F105)</f>
        <v>2909.03924704117</v>
      </c>
      <c r="H105" s="24" t="n">
        <f aca="false">(D105+E105)/G105</f>
        <v>115.344853057602</v>
      </c>
      <c r="I105" s="24" t="n">
        <f aca="false">I104+H105/60</f>
        <v>40.3962862795166</v>
      </c>
      <c r="J105" s="3" t="str">
        <f aca="false">IF(I105&gt;=$C$33,"Later",INDEX($A$27:$A$33,MATCH(I105,$B$27:$B$33,1)))</f>
        <v>Minutes 30-60</v>
      </c>
      <c r="K105" s="23" t="n">
        <f aca="false">G105*$B$12</f>
        <v>7272.59811760292</v>
      </c>
      <c r="L105" s="24" t="n">
        <f aca="false">(D105+E105)/K105</f>
        <v>46.1379412230407</v>
      </c>
      <c r="M105" s="24" t="n">
        <f aca="false">M104+L105/60</f>
        <v>16.1585145118067</v>
      </c>
    </row>
    <row r="106" customFormat="false" ht="15" hidden="false" customHeight="false" outlineLevel="0" collapsed="false">
      <c r="A106" s="18" t="n">
        <v>54</v>
      </c>
      <c r="B106" s="18" t="n">
        <f aca="false">MATCH(A106,$C$15:$C$23,1)</f>
        <v>4</v>
      </c>
      <c r="C106" s="27" t="n">
        <f aca="false">IF(AND(B106&gt;1,A106=INDEX($C$15:$C$23,B106)),1,0)</f>
        <v>0</v>
      </c>
      <c r="D106" s="23" t="n">
        <f aca="false">D105*INDEX($D$15:$D$23,B106)</f>
        <v>429494.661745613</v>
      </c>
      <c r="E106" s="23" t="n">
        <f aca="false">C106*INDEX($F$15:$F$23,B106)*D106</f>
        <v>0</v>
      </c>
      <c r="F106" s="18" t="n">
        <f aca="false">B105</f>
        <v>4</v>
      </c>
      <c r="G106" s="23" t="n">
        <f aca="false">$B$5*$B$6*(1+$B$8)^(A106-1)*INDEX($G$15:$G$23,F106)</f>
        <v>3199.94317174528</v>
      </c>
      <c r="H106" s="24" t="n">
        <f aca="false">(D106+E106)/G106</f>
        <v>134.219465376118</v>
      </c>
      <c r="I106" s="24" t="n">
        <f aca="false">I105+H106/60</f>
        <v>42.6332773691186</v>
      </c>
      <c r="J106" s="3" t="str">
        <f aca="false">IF(I106&gt;=$C$33,"Later",INDEX($A$27:$A$33,MATCH(I106,$B$27:$B$33,1)))</f>
        <v>Minutes 30-60</v>
      </c>
      <c r="K106" s="23" t="n">
        <f aca="false">G106*$B$12</f>
        <v>7999.85792936321</v>
      </c>
      <c r="L106" s="24" t="n">
        <f aca="false">(D106+E106)/K106</f>
        <v>53.6877861504474</v>
      </c>
      <c r="M106" s="24" t="n">
        <f aca="false">M105+L106/60</f>
        <v>17.0533109476474</v>
      </c>
    </row>
    <row r="107" customFormat="false" ht="15" hidden="false" customHeight="false" outlineLevel="0" collapsed="false">
      <c r="A107" s="18" t="n">
        <v>55</v>
      </c>
      <c r="B107" s="18" t="n">
        <f aca="false">MATCH(A107,$C$15:$C$23,1)</f>
        <v>4</v>
      </c>
      <c r="C107" s="27" t="n">
        <f aca="false">IF(AND(B107&gt;1,A107=INDEX($C$15:$C$23,B107)),1,0)</f>
        <v>0</v>
      </c>
      <c r="D107" s="23" t="n">
        <f aca="false">D106*INDEX($D$15:$D$23,B107)</f>
        <v>549753.167034384</v>
      </c>
      <c r="E107" s="23" t="n">
        <f aca="false">C107*INDEX($F$15:$F$23,B107)*D107</f>
        <v>0</v>
      </c>
      <c r="F107" s="18" t="n">
        <f aca="false">B106</f>
        <v>4</v>
      </c>
      <c r="G107" s="23" t="n">
        <f aca="false">$B$5*$B$6*(1+$B$8)^(A107-1)*INDEX($G$15:$G$23,F107)</f>
        <v>3519.93748891981</v>
      </c>
      <c r="H107" s="24" t="n">
        <f aca="false">(D107+E107)/G107</f>
        <v>156.182650619483</v>
      </c>
      <c r="I107" s="24" t="n">
        <f aca="false">I106+H107/60</f>
        <v>45.23632154611</v>
      </c>
      <c r="J107" s="3" t="str">
        <f aca="false">IF(I107&gt;=$C$33,"Later",INDEX($A$27:$A$33,MATCH(I107,$B$27:$B$33,1)))</f>
        <v>Minutes 30-60</v>
      </c>
      <c r="K107" s="23" t="n">
        <f aca="false">G107*$B$12</f>
        <v>8799.84372229953</v>
      </c>
      <c r="L107" s="24" t="n">
        <f aca="false">(D107+E107)/K107</f>
        <v>62.4730602477933</v>
      </c>
      <c r="M107" s="24" t="n">
        <f aca="false">M106+L107/60</f>
        <v>18.094528618444</v>
      </c>
    </row>
    <row r="108" customFormat="false" ht="15" hidden="false" customHeight="false" outlineLevel="0" collapsed="false">
      <c r="A108" s="18" t="n">
        <v>56</v>
      </c>
      <c r="B108" s="18" t="n">
        <f aca="false">MATCH(A108,$C$15:$C$23,1)</f>
        <v>4</v>
      </c>
      <c r="C108" s="27" t="n">
        <f aca="false">IF(AND(B108&gt;1,A108=INDEX($C$15:$C$23,B108)),1,0)</f>
        <v>0</v>
      </c>
      <c r="D108" s="23" t="n">
        <f aca="false">D107*INDEX($D$15:$D$23,B108)</f>
        <v>703684.053804012</v>
      </c>
      <c r="E108" s="23" t="n">
        <f aca="false">C108*INDEX($F$15:$F$23,B108)*D108</f>
        <v>0</v>
      </c>
      <c r="F108" s="18" t="n">
        <f aca="false">B107</f>
        <v>4</v>
      </c>
      <c r="G108" s="23" t="n">
        <f aca="false">$B$5*$B$6*(1+$B$8)^(A108-1)*INDEX($G$15:$G$23,F108)</f>
        <v>3871.93123781179</v>
      </c>
      <c r="H108" s="24" t="n">
        <f aca="false">(D108+E108)/G108</f>
        <v>181.739811629944</v>
      </c>
      <c r="I108" s="24" t="n">
        <f aca="false">I107+H108/60</f>
        <v>48.2653184066091</v>
      </c>
      <c r="J108" s="3" t="str">
        <f aca="false">IF(I108&gt;=$C$33,"Later",INDEX($A$27:$A$33,MATCH(I108,$B$27:$B$33,1)))</f>
        <v>Minutes 30-60</v>
      </c>
      <c r="K108" s="23" t="n">
        <f aca="false">G108*$B$12</f>
        <v>9679.82809452948</v>
      </c>
      <c r="L108" s="24" t="n">
        <f aca="false">(D108+E108)/K108</f>
        <v>72.6959246519776</v>
      </c>
      <c r="M108" s="24" t="n">
        <f aca="false">M107+L108/60</f>
        <v>19.3061273626436</v>
      </c>
    </row>
    <row r="109" customFormat="false" ht="15" hidden="false" customHeight="false" outlineLevel="0" collapsed="false">
      <c r="A109" s="18" t="n">
        <v>57</v>
      </c>
      <c r="B109" s="18" t="n">
        <f aca="false">MATCH(A109,$C$15:$C$23,1)</f>
        <v>4</v>
      </c>
      <c r="C109" s="27" t="n">
        <f aca="false">IF(AND(B109&gt;1,A109=INDEX($C$15:$C$23,B109)),1,0)</f>
        <v>0</v>
      </c>
      <c r="D109" s="23" t="n">
        <f aca="false">D108*INDEX($D$15:$D$23,B109)</f>
        <v>900715.588869135</v>
      </c>
      <c r="E109" s="23" t="n">
        <f aca="false">C109*INDEX($F$15:$F$23,B109)*D109</f>
        <v>0</v>
      </c>
      <c r="F109" s="18" t="n">
        <f aca="false">B108</f>
        <v>4</v>
      </c>
      <c r="G109" s="23" t="n">
        <f aca="false">$B$5*$B$6*(1+$B$8)^(A109-1)*INDEX($G$15:$G$23,F109)</f>
        <v>4259.12436159297</v>
      </c>
      <c r="H109" s="24" t="n">
        <f aca="false">(D109+E109)/G109</f>
        <v>211.479053533026</v>
      </c>
      <c r="I109" s="24" t="n">
        <f aca="false">I108+H109/60</f>
        <v>51.7899692988262</v>
      </c>
      <c r="J109" s="3" t="str">
        <f aca="false">IF(I109&gt;=$C$33,"Later",INDEX($A$27:$A$33,MATCH(I109,$B$27:$B$33,1)))</f>
        <v>Minutes 30-60</v>
      </c>
      <c r="K109" s="23" t="n">
        <f aca="false">G109*$B$12</f>
        <v>10647.8109039824</v>
      </c>
      <c r="L109" s="24" t="n">
        <f aca="false">(D109+E109)/K109</f>
        <v>84.5916214132103</v>
      </c>
      <c r="M109" s="24" t="n">
        <f aca="false">M108+L109/60</f>
        <v>20.7159877195305</v>
      </c>
    </row>
    <row r="110" customFormat="false" ht="15" hidden="false" customHeight="false" outlineLevel="0" collapsed="false">
      <c r="A110" s="18" t="n">
        <v>58</v>
      </c>
      <c r="B110" s="18" t="n">
        <f aca="false">MATCH(A110,$C$15:$C$23,1)</f>
        <v>4</v>
      </c>
      <c r="C110" s="27" t="n">
        <f aca="false">IF(AND(B110&gt;1,A110=INDEX($C$15:$C$23,B110)),1,0)</f>
        <v>0</v>
      </c>
      <c r="D110" s="23" t="n">
        <f aca="false">D109*INDEX($D$15:$D$23,B110)</f>
        <v>1152915.95375249</v>
      </c>
      <c r="E110" s="23" t="n">
        <f aca="false">C110*INDEX($F$15:$F$23,B110)*D110</f>
        <v>0</v>
      </c>
      <c r="F110" s="18" t="n">
        <f aca="false">B109</f>
        <v>4</v>
      </c>
      <c r="G110" s="23" t="n">
        <f aca="false">$B$5*$B$6*(1+$B$8)^(A110-1)*INDEX($G$15:$G$23,F110)</f>
        <v>4685.03679775227</v>
      </c>
      <c r="H110" s="24" t="n">
        <f aca="false">(D110+E110)/G110</f>
        <v>246.08471683843</v>
      </c>
      <c r="I110" s="24" t="n">
        <f aca="false">I109+H110/60</f>
        <v>55.8913812461333</v>
      </c>
      <c r="J110" s="3" t="str">
        <f aca="false">IF(I110&gt;=$C$33,"Later",INDEX($A$27:$A$33,MATCH(I110,$B$27:$B$33,1)))</f>
        <v>Minutes 30-60</v>
      </c>
      <c r="K110" s="23" t="n">
        <f aca="false">G110*$B$12</f>
        <v>11712.5919943807</v>
      </c>
      <c r="L110" s="24" t="n">
        <f aca="false">(D110+E110)/K110</f>
        <v>98.433886735372</v>
      </c>
      <c r="M110" s="24" t="n">
        <f aca="false">M109+L110/60</f>
        <v>22.3565524984533</v>
      </c>
    </row>
    <row r="111" customFormat="false" ht="15" hidden="false" customHeight="false" outlineLevel="0" collapsed="false">
      <c r="A111" s="18" t="n">
        <v>59</v>
      </c>
      <c r="B111" s="18" t="n">
        <f aca="false">MATCH(A111,$C$15:$C$23,1)</f>
        <v>4</v>
      </c>
      <c r="C111" s="27" t="n">
        <f aca="false">IF(AND(B111&gt;1,A111=INDEX($C$15:$C$23,B111)),1,0)</f>
        <v>0</v>
      </c>
      <c r="D111" s="23" t="n">
        <f aca="false">D110*INDEX($D$15:$D$23,B111)</f>
        <v>1475732.42080319</v>
      </c>
      <c r="E111" s="23" t="n">
        <f aca="false">C111*INDEX($F$15:$F$23,B111)*D111</f>
        <v>0</v>
      </c>
      <c r="F111" s="18" t="n">
        <f aca="false">B110</f>
        <v>4</v>
      </c>
      <c r="G111" s="23" t="n">
        <f aca="false">$B$5*$B$6*(1+$B$8)^(A111-1)*INDEX($G$15:$G$23,F111)</f>
        <v>5153.5404775275</v>
      </c>
      <c r="H111" s="24" t="n">
        <f aca="false">(D111+E111)/G111</f>
        <v>286.353125048355</v>
      </c>
      <c r="I111" s="24" t="n">
        <f aca="false">I110+H111/60</f>
        <v>60.6639333302726</v>
      </c>
      <c r="J111" s="3" t="str">
        <f aca="false">IF(I111&gt;=$C$33,"Later",INDEX($A$27:$A$33,MATCH(I111,$B$27:$B$33,1)))</f>
        <v>Hour 1 to day 7</v>
      </c>
      <c r="K111" s="23" t="n">
        <f aca="false">G111*$B$12</f>
        <v>12883.8511938187</v>
      </c>
      <c r="L111" s="24" t="n">
        <f aca="false">(D111+E111)/K111</f>
        <v>114.541250019342</v>
      </c>
      <c r="M111" s="24" t="n">
        <f aca="false">M110+L111/60</f>
        <v>24.265573332109</v>
      </c>
    </row>
    <row r="112" customFormat="false" ht="15" hidden="false" customHeight="false" outlineLevel="0" collapsed="false">
      <c r="A112" s="18" t="n">
        <v>60</v>
      </c>
      <c r="B112" s="18" t="n">
        <f aca="false">MATCH(A112,$C$15:$C$23,1)</f>
        <v>4</v>
      </c>
      <c r="C112" s="27" t="n">
        <f aca="false">IF(AND(B112&gt;1,A112=INDEX($C$15:$C$23,B112)),1,0)</f>
        <v>0</v>
      </c>
      <c r="D112" s="23" t="n">
        <f aca="false">D111*INDEX($D$15:$D$23,B112)</f>
        <v>1888937.49862808</v>
      </c>
      <c r="E112" s="23" t="n">
        <f aca="false">C112*INDEX($F$15:$F$23,B112)*D112</f>
        <v>0</v>
      </c>
      <c r="F112" s="18" t="n">
        <f aca="false">B111</f>
        <v>4</v>
      </c>
      <c r="G112" s="23" t="n">
        <f aca="false">$B$5*$B$6*(1+$B$8)^(A112-1)*INDEX($G$15:$G$23,F112)</f>
        <v>5668.89452528025</v>
      </c>
      <c r="H112" s="24" t="n">
        <f aca="false">(D112+E112)/G112</f>
        <v>333.210909147177</v>
      </c>
      <c r="I112" s="24" t="n">
        <f aca="false">I111+H112/60</f>
        <v>66.2174484827255</v>
      </c>
      <c r="J112" s="3" t="str">
        <f aca="false">IF(I112&gt;=$C$33,"Later",INDEX($A$27:$A$33,MATCH(I112,$B$27:$B$33,1)))</f>
        <v>Hour 1 to day 7</v>
      </c>
      <c r="K112" s="23" t="n">
        <f aca="false">G112*$B$12</f>
        <v>14172.2363132006</v>
      </c>
      <c r="L112" s="24" t="n">
        <f aca="false">(D112+E112)/K112</f>
        <v>133.284363658871</v>
      </c>
      <c r="M112" s="24" t="n">
        <f aca="false">M111+L112/60</f>
        <v>26.4869793930902</v>
      </c>
    </row>
    <row r="113" customFormat="false" ht="15" hidden="false" customHeight="false" outlineLevel="0" collapsed="false">
      <c r="A113" s="18" t="n">
        <v>61</v>
      </c>
      <c r="B113" s="18" t="n">
        <f aca="false">MATCH(A113,$C$15:$C$23,1)</f>
        <v>4</v>
      </c>
      <c r="C113" s="27" t="n">
        <f aca="false">IF(AND(B113&gt;1,A113=INDEX($C$15:$C$23,B113)),1,0)</f>
        <v>0</v>
      </c>
      <c r="D113" s="23" t="n">
        <f aca="false">D112*INDEX($D$15:$D$23,B113)</f>
        <v>2417839.99824395</v>
      </c>
      <c r="E113" s="23" t="n">
        <f aca="false">C113*INDEX($F$15:$F$23,B113)*D113</f>
        <v>0</v>
      </c>
      <c r="F113" s="18" t="n">
        <f aca="false">B112</f>
        <v>4</v>
      </c>
      <c r="G113" s="23" t="n">
        <f aca="false">$B$5*$B$6*(1+$B$8)^(A113-1)*INDEX($G$15:$G$23,F113)</f>
        <v>6235.78397780827</v>
      </c>
      <c r="H113" s="24" t="n">
        <f aca="false">(D113+E113)/G113</f>
        <v>387.736330643987</v>
      </c>
      <c r="I113" s="24" t="n">
        <f aca="false">I112+H113/60</f>
        <v>72.6797206601253</v>
      </c>
      <c r="J113" s="3" t="str">
        <f aca="false">IF(I113&gt;=$C$33,"Later",INDEX($A$27:$A$33,MATCH(I113,$B$27:$B$33,1)))</f>
        <v>Hour 1 to day 7</v>
      </c>
      <c r="K113" s="23" t="n">
        <f aca="false">G113*$B$12</f>
        <v>15589.4599445207</v>
      </c>
      <c r="L113" s="24" t="n">
        <f aca="false">(D113+E113)/K113</f>
        <v>155.094532257595</v>
      </c>
      <c r="M113" s="24" t="n">
        <f aca="false">M112+L113/60</f>
        <v>29.0718882640501</v>
      </c>
    </row>
    <row r="114" customFormat="false" ht="15" hidden="false" customHeight="false" outlineLevel="0" collapsed="false">
      <c r="A114" s="18" t="n">
        <v>62</v>
      </c>
      <c r="B114" s="18" t="n">
        <f aca="false">MATCH(A114,$C$15:$C$23,1)</f>
        <v>5</v>
      </c>
      <c r="C114" s="27" t="n">
        <f aca="false">IF(AND(B114&gt;1,A114=INDEX($C$15:$C$23,B114)),1,0)</f>
        <v>1</v>
      </c>
      <c r="D114" s="23" t="n">
        <f aca="false">D113*INDEX($D$15:$D$23,B114)</f>
        <v>2901407.99789274</v>
      </c>
      <c r="E114" s="23" t="n">
        <f aca="false">C114*INDEX($F$15:$F$23,B114)*D114</f>
        <v>4352111.99683911</v>
      </c>
      <c r="F114" s="18" t="n">
        <f aca="false">B113</f>
        <v>4</v>
      </c>
      <c r="G114" s="23" t="n">
        <f aca="false">$B$5*$B$6*(1+$B$8)^(A114-1)*INDEX($G$15:$G$23,F114)</f>
        <v>6859.3623755891</v>
      </c>
      <c r="H114" s="24" t="n">
        <f aca="false">(D114+E114)/G114</f>
        <v>1057.46271993815</v>
      </c>
      <c r="I114" s="24" t="n">
        <f aca="false">I113+H114/60</f>
        <v>90.3040993257611</v>
      </c>
      <c r="J114" s="3" t="str">
        <f aca="false">IF(I114&gt;=$C$33,"Later",INDEX($A$27:$A$33,MATCH(I114,$B$27:$B$33,1)))</f>
        <v>Hour 1 to day 7</v>
      </c>
      <c r="K114" s="23" t="n">
        <f aca="false">G114*$B$12</f>
        <v>17148.4059389728</v>
      </c>
      <c r="L114" s="24" t="n">
        <f aca="false">(D114+E114)/K114</f>
        <v>422.985087975259</v>
      </c>
      <c r="M114" s="24" t="n">
        <f aca="false">M113+L114/60</f>
        <v>36.1216397303044</v>
      </c>
    </row>
    <row r="115" customFormat="false" ht="15" hidden="false" customHeight="false" outlineLevel="0" collapsed="false">
      <c r="A115" s="18" t="n">
        <v>63</v>
      </c>
      <c r="B115" s="18" t="n">
        <f aca="false">MATCH(A115,$C$15:$C$23,1)</f>
        <v>5</v>
      </c>
      <c r="C115" s="27" t="n">
        <f aca="false">IF(AND(B115&gt;1,A115=INDEX($C$15:$C$23,B115)),1,0)</f>
        <v>0</v>
      </c>
      <c r="D115" s="23" t="n">
        <f aca="false">D114*INDEX($D$15:$D$23,B115)</f>
        <v>3481689.59747128</v>
      </c>
      <c r="E115" s="23" t="n">
        <f aca="false">C115*INDEX($F$15:$F$23,B115)*D115</f>
        <v>0</v>
      </c>
      <c r="F115" s="18" t="n">
        <f aca="false">B114</f>
        <v>5</v>
      </c>
      <c r="G115" s="23" t="n">
        <f aca="false">$B$5*$B$6*(1+$B$8)^(A115-1)*INDEX($G$15:$G$23,F115)</f>
        <v>12072.4777810368</v>
      </c>
      <c r="H115" s="24" t="n">
        <f aca="false">(D115+E115)/G115</f>
        <v>288.398923619495</v>
      </c>
      <c r="I115" s="24" t="n">
        <f aca="false">I114+H115/60</f>
        <v>95.1107480527527</v>
      </c>
      <c r="J115" s="3" t="str">
        <f aca="false">IF(I115&gt;=$C$33,"Later",INDEX($A$27:$A$33,MATCH(I115,$B$27:$B$33,1)))</f>
        <v>Hour 1 to day 7</v>
      </c>
      <c r="K115" s="23" t="n">
        <f aca="false">G115*$B$12</f>
        <v>30181.1944525921</v>
      </c>
      <c r="L115" s="24" t="n">
        <f aca="false">(D115+E115)/K115</f>
        <v>115.359569447798</v>
      </c>
      <c r="M115" s="24" t="n">
        <f aca="false">M114+L115/60</f>
        <v>38.0442992211011</v>
      </c>
    </row>
    <row r="116" customFormat="false" ht="15" hidden="false" customHeight="false" outlineLevel="0" collapsed="false">
      <c r="A116" s="18" t="n">
        <v>64</v>
      </c>
      <c r="B116" s="18" t="n">
        <f aca="false">MATCH(A116,$C$15:$C$23,1)</f>
        <v>5</v>
      </c>
      <c r="C116" s="27" t="n">
        <f aca="false">IF(AND(B116&gt;1,A116=INDEX($C$15:$C$23,B116)),1,0)</f>
        <v>0</v>
      </c>
      <c r="D116" s="23" t="n">
        <f aca="false">D115*INDEX($D$15:$D$23,B116)</f>
        <v>4178027.51696554</v>
      </c>
      <c r="E116" s="23" t="n">
        <f aca="false">C116*INDEX($F$15:$F$23,B116)*D116</f>
        <v>0</v>
      </c>
      <c r="F116" s="18" t="n">
        <f aca="false">B115</f>
        <v>5</v>
      </c>
      <c r="G116" s="23" t="n">
        <f aca="false">$B$5*$B$6*(1+$B$8)^(A116-1)*INDEX($G$15:$G$23,F116)</f>
        <v>13279.7255591405</v>
      </c>
      <c r="H116" s="24" t="n">
        <f aca="false">(D116+E116)/G116</f>
        <v>314.617007584903</v>
      </c>
      <c r="I116" s="24" t="n">
        <f aca="false">I115+H116/60</f>
        <v>100.354364845834</v>
      </c>
      <c r="J116" s="3" t="str">
        <f aca="false">IF(I116&gt;=$C$33,"Later",INDEX($A$27:$A$33,MATCH(I116,$B$27:$B$33,1)))</f>
        <v>Hour 1 to day 7</v>
      </c>
      <c r="K116" s="23" t="n">
        <f aca="false">G116*$B$12</f>
        <v>33199.3138978513</v>
      </c>
      <c r="L116" s="24" t="n">
        <f aca="false">(D116+E116)/K116</f>
        <v>125.846803033961</v>
      </c>
      <c r="M116" s="24" t="n">
        <f aca="false">M115+L116/60</f>
        <v>40.1417459383338</v>
      </c>
    </row>
    <row r="117" customFormat="false" ht="15" hidden="false" customHeight="false" outlineLevel="0" collapsed="false">
      <c r="A117" s="18" t="n">
        <v>65</v>
      </c>
      <c r="B117" s="18" t="n">
        <f aca="false">MATCH(A117,$C$15:$C$23,1)</f>
        <v>5</v>
      </c>
      <c r="C117" s="27" t="n">
        <f aca="false">IF(AND(B117&gt;1,A117=INDEX($C$15:$C$23,B117)),1,0)</f>
        <v>0</v>
      </c>
      <c r="D117" s="23" t="n">
        <f aca="false">D116*INDEX($D$15:$D$23,B117)</f>
        <v>5013633.02035865</v>
      </c>
      <c r="E117" s="23" t="n">
        <f aca="false">C117*INDEX($F$15:$F$23,B117)*D117</f>
        <v>0</v>
      </c>
      <c r="F117" s="18" t="n">
        <f aca="false">B116</f>
        <v>5</v>
      </c>
      <c r="G117" s="23" t="n">
        <f aca="false">$B$5*$B$6*(1+$B$8)^(A117-1)*INDEX($G$15:$G$23,F117)</f>
        <v>14607.6981150546</v>
      </c>
      <c r="H117" s="24" t="n">
        <f aca="false">(D117+E117)/G117</f>
        <v>343.218553728985</v>
      </c>
      <c r="I117" s="24" t="n">
        <f aca="false">I116+H117/60</f>
        <v>106.074674074651</v>
      </c>
      <c r="J117" s="3" t="str">
        <f aca="false">IF(I117&gt;=$C$33,"Later",INDEX($A$27:$A$33,MATCH(I117,$B$27:$B$33,1)))</f>
        <v>Hour 1 to day 7</v>
      </c>
      <c r="K117" s="23" t="n">
        <f aca="false">G117*$B$12</f>
        <v>36519.2452876364</v>
      </c>
      <c r="L117" s="24" t="n">
        <f aca="false">(D117+E117)/K117</f>
        <v>137.287421491594</v>
      </c>
      <c r="M117" s="24" t="n">
        <f aca="false">M116+L117/60</f>
        <v>42.4298696298603</v>
      </c>
    </row>
    <row r="118" customFormat="false" ht="15" hidden="false" customHeight="false" outlineLevel="0" collapsed="false">
      <c r="A118" s="18" t="n">
        <v>66</v>
      </c>
      <c r="B118" s="18" t="n">
        <f aca="false">MATCH(A118,$C$15:$C$23,1)</f>
        <v>5</v>
      </c>
      <c r="C118" s="27" t="n">
        <f aca="false">IF(AND(B118&gt;1,A118=INDEX($C$15:$C$23,B118)),1,0)</f>
        <v>0</v>
      </c>
      <c r="D118" s="23" t="n">
        <f aca="false">D117*INDEX($D$15:$D$23,B118)</f>
        <v>6016359.62443038</v>
      </c>
      <c r="E118" s="23" t="n">
        <f aca="false">C118*INDEX($F$15:$F$23,B118)*D118</f>
        <v>0</v>
      </c>
      <c r="F118" s="18" t="n">
        <f aca="false">B117</f>
        <v>5</v>
      </c>
      <c r="G118" s="23" t="n">
        <f aca="false">$B$5*$B$6*(1+$B$8)^(A118-1)*INDEX($G$15:$G$23,F118)</f>
        <v>16068.46792656</v>
      </c>
      <c r="H118" s="24" t="n">
        <f aca="false">(D118+E118)/G118</f>
        <v>374.42024043162</v>
      </c>
      <c r="I118" s="24" t="n">
        <f aca="false">I117+H118/60</f>
        <v>112.315011415178</v>
      </c>
      <c r="J118" s="3" t="str">
        <f aca="false">IF(I118&gt;=$C$33,"Later",INDEX($A$27:$A$33,MATCH(I118,$B$27:$B$33,1)))</f>
        <v>Hour 1 to day 7</v>
      </c>
      <c r="K118" s="23" t="n">
        <f aca="false">G118*$B$12</f>
        <v>40171.1698164</v>
      </c>
      <c r="L118" s="24" t="n">
        <f aca="false">(D118+E118)/K118</f>
        <v>149.768096172648</v>
      </c>
      <c r="M118" s="24" t="n">
        <f aca="false">M117+L118/60</f>
        <v>44.9260045660711</v>
      </c>
    </row>
    <row r="119" customFormat="false" ht="15" hidden="false" customHeight="false" outlineLevel="0" collapsed="false">
      <c r="A119" s="18" t="n">
        <v>67</v>
      </c>
      <c r="B119" s="18" t="n">
        <f aca="false">MATCH(A119,$C$15:$C$23,1)</f>
        <v>5</v>
      </c>
      <c r="C119" s="27" t="n">
        <f aca="false">IF(AND(B119&gt;1,A119=INDEX($C$15:$C$23,B119)),1,0)</f>
        <v>0</v>
      </c>
      <c r="D119" s="23" t="n">
        <f aca="false">D118*INDEX($D$15:$D$23,B119)</f>
        <v>7219631.54931646</v>
      </c>
      <c r="E119" s="23" t="n">
        <f aca="false">C119*INDEX($F$15:$F$23,B119)*D119</f>
        <v>0</v>
      </c>
      <c r="F119" s="18" t="n">
        <f aca="false">B118</f>
        <v>5</v>
      </c>
      <c r="G119" s="23" t="n">
        <f aca="false">$B$5*$B$6*(1+$B$8)^(A119-1)*INDEX($G$15:$G$23,F119)</f>
        <v>17675.314719216</v>
      </c>
      <c r="H119" s="24" t="n">
        <f aca="false">(D119+E119)/G119</f>
        <v>408.458444107222</v>
      </c>
      <c r="I119" s="24" t="n">
        <f aca="false">I118+H119/60</f>
        <v>119.122652150298</v>
      </c>
      <c r="J119" s="3" t="str">
        <f aca="false">IF(I119&gt;=$C$33,"Later",INDEX($A$27:$A$33,MATCH(I119,$B$27:$B$33,1)))</f>
        <v>Hour 1 to day 7</v>
      </c>
      <c r="K119" s="23" t="n">
        <f aca="false">G119*$B$12</f>
        <v>44188.28679804</v>
      </c>
      <c r="L119" s="24" t="n">
        <f aca="false">(D119+E119)/K119</f>
        <v>163.383377642889</v>
      </c>
      <c r="M119" s="24" t="n">
        <f aca="false">M118+L119/60</f>
        <v>47.6490608601193</v>
      </c>
    </row>
    <row r="120" customFormat="false" ht="15" hidden="false" customHeight="false" outlineLevel="0" collapsed="false">
      <c r="A120" s="18" t="n">
        <v>68</v>
      </c>
      <c r="B120" s="18" t="n">
        <f aca="false">MATCH(A120,$C$15:$C$23,1)</f>
        <v>5</v>
      </c>
      <c r="C120" s="27" t="n">
        <f aca="false">IF(AND(B120&gt;1,A120=INDEX($C$15:$C$23,B120)),1,0)</f>
        <v>0</v>
      </c>
      <c r="D120" s="23" t="n">
        <f aca="false">D119*INDEX($D$15:$D$23,B120)</f>
        <v>8663557.85917974</v>
      </c>
      <c r="E120" s="23" t="n">
        <f aca="false">C120*INDEX($F$15:$F$23,B120)*D120</f>
        <v>0</v>
      </c>
      <c r="F120" s="18" t="n">
        <f aca="false">B119</f>
        <v>5</v>
      </c>
      <c r="G120" s="23" t="n">
        <f aca="false">$B$5*$B$6*(1+$B$8)^(A120-1)*INDEX($G$15:$G$23,F120)</f>
        <v>19442.8461911376</v>
      </c>
      <c r="H120" s="24" t="n">
        <f aca="false">(D120+E120)/G120</f>
        <v>445.591029935151</v>
      </c>
      <c r="I120" s="24" t="n">
        <f aca="false">I119+H120/60</f>
        <v>126.549169315884</v>
      </c>
      <c r="J120" s="3" t="str">
        <f aca="false">IF(I120&gt;=$C$33,"Later",INDEX($A$27:$A$33,MATCH(I120,$B$27:$B$33,1)))</f>
        <v>Hour 1 to day 7</v>
      </c>
      <c r="K120" s="23" t="n">
        <f aca="false">G120*$B$12</f>
        <v>48607.1154778441</v>
      </c>
      <c r="L120" s="24" t="n">
        <f aca="false">(D120+E120)/K120</f>
        <v>178.23641197406</v>
      </c>
      <c r="M120" s="24" t="n">
        <f aca="false">M119+L120/60</f>
        <v>50.6196677263536</v>
      </c>
    </row>
    <row r="121" customFormat="false" ht="15" hidden="false" customHeight="false" outlineLevel="0" collapsed="false">
      <c r="A121" s="18" t="n">
        <v>69</v>
      </c>
      <c r="B121" s="18" t="n">
        <f aca="false">MATCH(A121,$C$15:$C$23,1)</f>
        <v>5</v>
      </c>
      <c r="C121" s="27" t="n">
        <f aca="false">IF(AND(B121&gt;1,A121=INDEX($C$15:$C$23,B121)),1,0)</f>
        <v>0</v>
      </c>
      <c r="D121" s="23" t="n">
        <f aca="false">D120*INDEX($D$15:$D$23,B121)</f>
        <v>10396269.4310157</v>
      </c>
      <c r="E121" s="23" t="n">
        <f aca="false">C121*INDEX($F$15:$F$23,B121)*D121</f>
        <v>0</v>
      </c>
      <c r="F121" s="18" t="n">
        <f aca="false">B120</f>
        <v>5</v>
      </c>
      <c r="G121" s="23" t="n">
        <f aca="false">$B$5*$B$6*(1+$B$8)^(A121-1)*INDEX($G$15:$G$23,F121)</f>
        <v>21387.1308102514</v>
      </c>
      <c r="H121" s="24" t="n">
        <f aca="false">(D121+E121)/G121</f>
        <v>486.099305383801</v>
      </c>
      <c r="I121" s="24" t="n">
        <f aca="false">I120+H121/60</f>
        <v>134.650824405614</v>
      </c>
      <c r="J121" s="3" t="str">
        <f aca="false">IF(I121&gt;=$C$33,"Later",INDEX($A$27:$A$33,MATCH(I121,$B$27:$B$33,1)))</f>
        <v>Hour 1 to day 7</v>
      </c>
      <c r="K121" s="23" t="n">
        <f aca="false">G121*$B$12</f>
        <v>53467.8270256285</v>
      </c>
      <c r="L121" s="24" t="n">
        <f aca="false">(D121+E121)/K121</f>
        <v>194.439722153521</v>
      </c>
      <c r="M121" s="24" t="n">
        <f aca="false">M120+L121/60</f>
        <v>53.8603297622456</v>
      </c>
    </row>
    <row r="122" customFormat="false" ht="15" hidden="false" customHeight="false" outlineLevel="0" collapsed="false">
      <c r="A122" s="18" t="n">
        <v>70</v>
      </c>
      <c r="B122" s="18" t="n">
        <f aca="false">MATCH(A122,$C$15:$C$23,1)</f>
        <v>5</v>
      </c>
      <c r="C122" s="27" t="n">
        <f aca="false">IF(AND(B122&gt;1,A122=INDEX($C$15:$C$23,B122)),1,0)</f>
        <v>0</v>
      </c>
      <c r="D122" s="23" t="n">
        <f aca="false">D121*INDEX($D$15:$D$23,B122)</f>
        <v>12475523.3172188</v>
      </c>
      <c r="E122" s="23" t="n">
        <f aca="false">C122*INDEX($F$15:$F$23,B122)*D122</f>
        <v>0</v>
      </c>
      <c r="F122" s="18" t="n">
        <f aca="false">B121</f>
        <v>5</v>
      </c>
      <c r="G122" s="23" t="n">
        <f aca="false">$B$5*$B$6*(1+$B$8)^(A122-1)*INDEX($G$15:$G$23,F122)</f>
        <v>23525.8438912765</v>
      </c>
      <c r="H122" s="24" t="n">
        <f aca="false">(D122+E122)/G122</f>
        <v>530.290151327783</v>
      </c>
      <c r="I122" s="24" t="n">
        <f aca="false">I121+H122/60</f>
        <v>143.48899359441</v>
      </c>
      <c r="J122" s="3" t="str">
        <f aca="false">IF(I122&gt;=$C$33,"Later",INDEX($A$27:$A$33,MATCH(I122,$B$27:$B$33,1)))</f>
        <v>Hour 1 to day 7</v>
      </c>
      <c r="K122" s="23" t="n">
        <f aca="false">G122*$B$12</f>
        <v>58814.6097281913</v>
      </c>
      <c r="L122" s="24" t="n">
        <f aca="false">(D122+E122)/K122</f>
        <v>212.116060531113</v>
      </c>
      <c r="M122" s="24" t="n">
        <f aca="false">M121+L122/60</f>
        <v>57.3955974377642</v>
      </c>
    </row>
    <row r="123" customFormat="false" ht="15" hidden="false" customHeight="false" outlineLevel="0" collapsed="false">
      <c r="A123" s="18" t="n">
        <v>71</v>
      </c>
      <c r="B123" s="18" t="n">
        <f aca="false">MATCH(A123,$C$15:$C$23,1)</f>
        <v>5</v>
      </c>
      <c r="C123" s="27" t="n">
        <f aca="false">IF(AND(B123&gt;1,A123=INDEX($C$15:$C$23,B123)),1,0)</f>
        <v>0</v>
      </c>
      <c r="D123" s="23" t="n">
        <f aca="false">D122*INDEX($D$15:$D$23,B123)</f>
        <v>14970627.9806626</v>
      </c>
      <c r="E123" s="23" t="n">
        <f aca="false">C123*INDEX($F$15:$F$23,B123)*D123</f>
        <v>0</v>
      </c>
      <c r="F123" s="18" t="n">
        <f aca="false">B122</f>
        <v>5</v>
      </c>
      <c r="G123" s="23" t="n">
        <f aca="false">$B$5*$B$6*(1+$B$8)^(A123-1)*INDEX($G$15:$G$23,F123)</f>
        <v>25878.4282804042</v>
      </c>
      <c r="H123" s="24" t="n">
        <f aca="false">(D123+E123)/G123</f>
        <v>578.498346903036</v>
      </c>
      <c r="I123" s="24" t="n">
        <f aca="false">I122+H123/60</f>
        <v>153.130632709461</v>
      </c>
      <c r="J123" s="3" t="str">
        <f aca="false">IF(I123&gt;=$C$33,"Later",INDEX($A$27:$A$33,MATCH(I123,$B$27:$B$33,1)))</f>
        <v>Hour 1 to day 7</v>
      </c>
      <c r="K123" s="23" t="n">
        <f aca="false">G123*$B$12</f>
        <v>64696.0707010104</v>
      </c>
      <c r="L123" s="24" t="n">
        <f aca="false">(D123+E123)/K123</f>
        <v>231.399338761215</v>
      </c>
      <c r="M123" s="24" t="n">
        <f aca="false">M122+L123/60</f>
        <v>61.2522530837844</v>
      </c>
    </row>
    <row r="124" customFormat="false" ht="15" hidden="false" customHeight="false" outlineLevel="0" collapsed="false">
      <c r="A124" s="18" t="n">
        <v>72</v>
      </c>
      <c r="B124" s="18" t="n">
        <f aca="false">MATCH(A124,$C$15:$C$23,1)</f>
        <v>5</v>
      </c>
      <c r="C124" s="27" t="n">
        <f aca="false">IF(AND(B124&gt;1,A124=INDEX($C$15:$C$23,B124)),1,0)</f>
        <v>0</v>
      </c>
      <c r="D124" s="23" t="n">
        <f aca="false">D123*INDEX($D$15:$D$23,B124)</f>
        <v>17964753.5767951</v>
      </c>
      <c r="E124" s="23" t="n">
        <f aca="false">C124*INDEX($F$15:$F$23,B124)*D124</f>
        <v>0</v>
      </c>
      <c r="F124" s="18" t="n">
        <f aca="false">B123</f>
        <v>5</v>
      </c>
      <c r="G124" s="23" t="n">
        <f aca="false">$B$5*$B$6*(1+$B$8)^(A124-1)*INDEX($G$15:$G$23,F124)</f>
        <v>28466.2711084446</v>
      </c>
      <c r="H124" s="24" t="n">
        <f aca="false">(D124+E124)/G124</f>
        <v>631.089105712403</v>
      </c>
      <c r="I124" s="24" t="n">
        <f aca="false">I123+H124/60</f>
        <v>163.648784471334</v>
      </c>
      <c r="J124" s="3" t="str">
        <f aca="false">IF(I124&gt;=$C$33,"Later",INDEX($A$27:$A$33,MATCH(I124,$B$27:$B$33,1)))</f>
        <v>Hour 1 to day 7</v>
      </c>
      <c r="K124" s="23" t="n">
        <f aca="false">G124*$B$12</f>
        <v>71165.6777711115</v>
      </c>
      <c r="L124" s="24" t="n">
        <f aca="false">(D124+E124)/K124</f>
        <v>252.435642284961</v>
      </c>
      <c r="M124" s="24" t="n">
        <f aca="false">M123+L124/60</f>
        <v>65.4595137885338</v>
      </c>
    </row>
    <row r="125" customFormat="false" ht="15" hidden="false" customHeight="false" outlineLevel="0" collapsed="false">
      <c r="A125" s="18" t="n">
        <v>73</v>
      </c>
      <c r="B125" s="18" t="n">
        <f aca="false">MATCH(A125,$C$15:$C$23,1)</f>
        <v>5</v>
      </c>
      <c r="C125" s="27" t="n">
        <f aca="false">IF(AND(B125&gt;1,A125=INDEX($C$15:$C$23,B125)),1,0)</f>
        <v>0</v>
      </c>
      <c r="D125" s="23" t="n">
        <f aca="false">D124*INDEX($D$15:$D$23,B125)</f>
        <v>21557704.2921541</v>
      </c>
      <c r="E125" s="23" t="n">
        <f aca="false">C125*INDEX($F$15:$F$23,B125)*D125</f>
        <v>0</v>
      </c>
      <c r="F125" s="18" t="n">
        <f aca="false">B124</f>
        <v>5</v>
      </c>
      <c r="G125" s="23" t="n">
        <f aca="false">$B$5*$B$6*(1+$B$8)^(A125-1)*INDEX($G$15:$G$23,F125)</f>
        <v>31312.8982192891</v>
      </c>
      <c r="H125" s="24" t="n">
        <f aca="false">(D125+E125)/G125</f>
        <v>688.460842595349</v>
      </c>
      <c r="I125" s="24" t="n">
        <f aca="false">I124+H125/60</f>
        <v>175.123131847924</v>
      </c>
      <c r="J125" s="3" t="str">
        <f aca="false">IF(I125&gt;=$C$33,"Later",INDEX($A$27:$A$33,MATCH(I125,$B$27:$B$33,1)))</f>
        <v>Hour 1 to day 7</v>
      </c>
      <c r="K125" s="23" t="n">
        <f aca="false">G125*$B$12</f>
        <v>78282.2455482227</v>
      </c>
      <c r="L125" s="24" t="n">
        <f aca="false">(D125+E125)/K125</f>
        <v>275.384337038139</v>
      </c>
      <c r="M125" s="24" t="n">
        <f aca="false">M124+L125/60</f>
        <v>70.0492527391694</v>
      </c>
    </row>
    <row r="126" customFormat="false" ht="15" hidden="false" customHeight="false" outlineLevel="0" collapsed="false">
      <c r="A126" s="18" t="n">
        <v>74</v>
      </c>
      <c r="B126" s="18" t="n">
        <f aca="false">MATCH(A126,$C$15:$C$23,1)</f>
        <v>6</v>
      </c>
      <c r="C126" s="27" t="n">
        <f aca="false">IF(AND(B126&gt;1,A126=INDEX($C$15:$C$23,B126)),1,0)</f>
        <v>1</v>
      </c>
      <c r="D126" s="23" t="n">
        <f aca="false">D125*INDEX($D$15:$D$23,B126)</f>
        <v>25869245.150585</v>
      </c>
      <c r="E126" s="23" t="n">
        <f aca="false">C126*INDEX($F$15:$F$23,B126)*D126</f>
        <v>38803867.7258774</v>
      </c>
      <c r="F126" s="18" t="n">
        <f aca="false">B125</f>
        <v>5</v>
      </c>
      <c r="G126" s="23" t="n">
        <f aca="false">$B$5*$B$6*(1+$B$8)^(A126-1)*INDEX($G$15:$G$23,F126)</f>
        <v>34444.188041218</v>
      </c>
      <c r="H126" s="24" t="n">
        <f aca="false">(D126+E126)/G126</f>
        <v>1877.6204798055</v>
      </c>
      <c r="I126" s="24" t="n">
        <f aca="false">I125+H126/60</f>
        <v>206.416806511349</v>
      </c>
      <c r="J126" s="3" t="str">
        <f aca="false">IF(I126&gt;=$C$33,"Later",INDEX($A$27:$A$33,MATCH(I126,$B$27:$B$33,1)))</f>
        <v>Hour 1 to day 7</v>
      </c>
      <c r="K126" s="23" t="n">
        <f aca="false">G126*$B$12</f>
        <v>86110.4701030449</v>
      </c>
      <c r="L126" s="24" t="n">
        <f aca="false">(D126+E126)/K126</f>
        <v>751.048191922198</v>
      </c>
      <c r="M126" s="24" t="n">
        <f aca="false">M125+L126/60</f>
        <v>82.5667226045394</v>
      </c>
    </row>
    <row r="127" customFormat="false" ht="15" hidden="false" customHeight="false" outlineLevel="0" collapsed="false">
      <c r="A127" s="18" t="n">
        <v>75</v>
      </c>
      <c r="B127" s="18" t="n">
        <f aca="false">MATCH(A127,$C$15:$C$23,1)</f>
        <v>6</v>
      </c>
      <c r="C127" s="27" t="n">
        <f aca="false">IF(AND(B127&gt;1,A127=INDEX($C$15:$C$23,B127)),1,0)</f>
        <v>0</v>
      </c>
      <c r="D127" s="23" t="n">
        <f aca="false">D126*INDEX($D$15:$D$23,B127)</f>
        <v>31043094.180702</v>
      </c>
      <c r="E127" s="23" t="n">
        <f aca="false">C127*INDEX($F$15:$F$23,B127)*D127</f>
        <v>0</v>
      </c>
      <c r="F127" s="18" t="n">
        <f aca="false">B126</f>
        <v>6</v>
      </c>
      <c r="G127" s="23" t="n">
        <f aca="false">$B$5*$B$6*(1+$B$8)^(A127-1)*INDEX($G$15:$G$23,F127)</f>
        <v>60621.7709525436</v>
      </c>
      <c r="H127" s="24" t="n">
        <f aca="false">(D127+E127)/G127</f>
        <v>512.078312674226</v>
      </c>
      <c r="I127" s="24" t="n">
        <f aca="false">I126+H127/60</f>
        <v>214.951445055919</v>
      </c>
      <c r="J127" s="3" t="str">
        <f aca="false">IF(I127&gt;=$C$33,"Later",INDEX($A$27:$A$33,MATCH(I127,$B$27:$B$33,1)))</f>
        <v>Hour 1 to day 7</v>
      </c>
      <c r="K127" s="23" t="n">
        <f aca="false">G127*$B$12</f>
        <v>151554.427381359</v>
      </c>
      <c r="L127" s="24" t="n">
        <f aca="false">(D127+E127)/K127</f>
        <v>204.83132506969</v>
      </c>
      <c r="M127" s="24" t="n">
        <f aca="false">M126+L127/60</f>
        <v>85.9805780223676</v>
      </c>
    </row>
    <row r="128" customFormat="false" ht="15" hidden="false" customHeight="false" outlineLevel="0" collapsed="false">
      <c r="A128" s="18" t="n">
        <v>76</v>
      </c>
      <c r="B128" s="18" t="n">
        <f aca="false">MATCH(A128,$C$15:$C$23,1)</f>
        <v>6</v>
      </c>
      <c r="C128" s="27" t="n">
        <f aca="false">IF(AND(B128&gt;1,A128=INDEX($C$15:$C$23,B128)),1,0)</f>
        <v>0</v>
      </c>
      <c r="D128" s="23" t="n">
        <f aca="false">D127*INDEX($D$15:$D$23,B128)</f>
        <v>37251713.0168423</v>
      </c>
      <c r="E128" s="23" t="n">
        <f aca="false">C128*INDEX($F$15:$F$23,B128)*D128</f>
        <v>0</v>
      </c>
      <c r="F128" s="18" t="n">
        <f aca="false">B127</f>
        <v>6</v>
      </c>
      <c r="G128" s="23" t="n">
        <f aca="false">$B$5*$B$6*(1+$B$8)^(A128-1)*INDEX($G$15:$G$23,F128)</f>
        <v>66683.948047798</v>
      </c>
      <c r="H128" s="24" t="n">
        <f aca="false">(D128+E128)/G128</f>
        <v>558.630886553701</v>
      </c>
      <c r="I128" s="24" t="n">
        <f aca="false">I127+H128/60</f>
        <v>224.261959831814</v>
      </c>
      <c r="J128" s="3" t="str">
        <f aca="false">IF(I128&gt;=$C$33,"Later",INDEX($A$27:$A$33,MATCH(I128,$B$27:$B$33,1)))</f>
        <v>Hour 1 to day 7</v>
      </c>
      <c r="K128" s="23" t="n">
        <f aca="false">G128*$B$12</f>
        <v>166709.870119495</v>
      </c>
      <c r="L128" s="24" t="n">
        <f aca="false">(D128+E128)/K128</f>
        <v>223.45235462148</v>
      </c>
      <c r="M128" s="24" t="n">
        <f aca="false">M127+L128/60</f>
        <v>89.7047839327256</v>
      </c>
    </row>
    <row r="129" customFormat="false" ht="15" hidden="false" customHeight="false" outlineLevel="0" collapsed="false">
      <c r="A129" s="18" t="n">
        <v>77</v>
      </c>
      <c r="B129" s="18" t="n">
        <f aca="false">MATCH(A129,$C$15:$C$23,1)</f>
        <v>6</v>
      </c>
      <c r="C129" s="27" t="n">
        <f aca="false">IF(AND(B129&gt;1,A129=INDEX($C$15:$C$23,B129)),1,0)</f>
        <v>0</v>
      </c>
      <c r="D129" s="23" t="n">
        <f aca="false">D128*INDEX($D$15:$D$23,B129)</f>
        <v>44702055.6202108</v>
      </c>
      <c r="E129" s="23" t="n">
        <f aca="false">C129*INDEX($F$15:$F$23,B129)*D129</f>
        <v>0</v>
      </c>
      <c r="F129" s="18" t="n">
        <f aca="false">B128</f>
        <v>6</v>
      </c>
      <c r="G129" s="23" t="n">
        <f aca="false">$B$5*$B$6*(1+$B$8)^(A129-1)*INDEX($G$15:$G$23,F129)</f>
        <v>73352.3428525778</v>
      </c>
      <c r="H129" s="24" t="n">
        <f aca="false">(D129+E129)/G129</f>
        <v>609.415512604038</v>
      </c>
      <c r="I129" s="24" t="n">
        <f aca="false">I128+H129/60</f>
        <v>234.418885041881</v>
      </c>
      <c r="J129" s="3" t="str">
        <f aca="false">IF(I129&gt;=$C$33,"Later",INDEX($A$27:$A$33,MATCH(I129,$B$27:$B$33,1)))</f>
        <v>Hour 1 to day 7</v>
      </c>
      <c r="K129" s="23" t="n">
        <f aca="false">G129*$B$12</f>
        <v>183380.857131445</v>
      </c>
      <c r="L129" s="24" t="n">
        <f aca="false">(D129+E129)/K129</f>
        <v>243.766205041615</v>
      </c>
      <c r="M129" s="24" t="n">
        <f aca="false">M128+L129/60</f>
        <v>93.7675540167525</v>
      </c>
    </row>
    <row r="130" customFormat="false" ht="15" hidden="false" customHeight="false" outlineLevel="0" collapsed="false">
      <c r="A130" s="18" t="n">
        <v>78</v>
      </c>
      <c r="B130" s="18" t="n">
        <f aca="false">MATCH(A130,$C$15:$C$23,1)</f>
        <v>6</v>
      </c>
      <c r="C130" s="27" t="n">
        <f aca="false">IF(AND(B130&gt;1,A130=INDEX($C$15:$C$23,B130)),1,0)</f>
        <v>0</v>
      </c>
      <c r="D130" s="23" t="n">
        <f aca="false">D129*INDEX($D$15:$D$23,B130)</f>
        <v>53642466.744253</v>
      </c>
      <c r="E130" s="23" t="n">
        <f aca="false">C130*INDEX($F$15:$F$23,B130)*D130</f>
        <v>0</v>
      </c>
      <c r="F130" s="18" t="n">
        <f aca="false">B129</f>
        <v>6</v>
      </c>
      <c r="G130" s="23" t="n">
        <f aca="false">$B$5*$B$6*(1+$B$8)^(A130-1)*INDEX($G$15:$G$23,F130)</f>
        <v>80687.5771378356</v>
      </c>
      <c r="H130" s="24" t="n">
        <f aca="false">(D130+E130)/G130</f>
        <v>664.816922840768</v>
      </c>
      <c r="I130" s="24" t="n">
        <f aca="false">I129+H130/60</f>
        <v>245.499167089227</v>
      </c>
      <c r="J130" s="3" t="str">
        <f aca="false">IF(I130&gt;=$C$33,"Later",INDEX($A$27:$A$33,MATCH(I130,$B$27:$B$33,1)))</f>
        <v>Hour 1 to day 7</v>
      </c>
      <c r="K130" s="23" t="n">
        <f aca="false">G130*$B$12</f>
        <v>201718.942844589</v>
      </c>
      <c r="L130" s="24" t="n">
        <f aca="false">(D130+E130)/K130</f>
        <v>265.926769136307</v>
      </c>
      <c r="M130" s="24" t="n">
        <f aca="false">M129+L130/60</f>
        <v>98.199666835691</v>
      </c>
    </row>
    <row r="131" customFormat="false" ht="15" hidden="false" customHeight="false" outlineLevel="0" collapsed="false">
      <c r="A131" s="18" t="n">
        <v>79</v>
      </c>
      <c r="B131" s="18" t="n">
        <f aca="false">MATCH(A131,$C$15:$C$23,1)</f>
        <v>6</v>
      </c>
      <c r="C131" s="27" t="n">
        <f aca="false">IF(AND(B131&gt;1,A131=INDEX($C$15:$C$23,B131)),1,0)</f>
        <v>0</v>
      </c>
      <c r="D131" s="23" t="n">
        <f aca="false">D130*INDEX($D$15:$D$23,B131)</f>
        <v>64370960.0931036</v>
      </c>
      <c r="E131" s="23" t="n">
        <f aca="false">C131*INDEX($F$15:$F$23,B131)*D131</f>
        <v>0</v>
      </c>
      <c r="F131" s="18" t="n">
        <f aca="false">B130</f>
        <v>6</v>
      </c>
      <c r="G131" s="23" t="n">
        <f aca="false">$B$5*$B$6*(1+$B$8)^(A131-1)*INDEX($G$15:$G$23,F131)</f>
        <v>88756.3348516192</v>
      </c>
      <c r="H131" s="24" t="n">
        <f aca="false">(D131+E131)/G131</f>
        <v>725.254824917202</v>
      </c>
      <c r="I131" s="24" t="n">
        <f aca="false">I130+H131/60</f>
        <v>257.586747504514</v>
      </c>
      <c r="J131" s="3" t="str">
        <f aca="false">IF(I131&gt;=$C$33,"Later",INDEX($A$27:$A$33,MATCH(I131,$B$27:$B$33,1)))</f>
        <v>Hour 1 to day 7</v>
      </c>
      <c r="K131" s="23" t="n">
        <f aca="false">G131*$B$12</f>
        <v>221890.837129048</v>
      </c>
      <c r="L131" s="24" t="n">
        <f aca="false">(D131+E131)/K131</f>
        <v>290.101929966881</v>
      </c>
      <c r="M131" s="24" t="n">
        <f aca="false">M130+L131/60</f>
        <v>103.034699001806</v>
      </c>
    </row>
    <row r="132" customFormat="false" ht="15" hidden="false" customHeight="false" outlineLevel="0" collapsed="false">
      <c r="A132" s="18" t="n">
        <v>80</v>
      </c>
      <c r="B132" s="18" t="n">
        <f aca="false">MATCH(A132,$C$15:$C$23,1)</f>
        <v>6</v>
      </c>
      <c r="C132" s="27" t="n">
        <f aca="false">IF(AND(B132&gt;1,A132=INDEX($C$15:$C$23,B132)),1,0)</f>
        <v>0</v>
      </c>
      <c r="D132" s="23" t="n">
        <f aca="false">D131*INDEX($D$15:$D$23,B132)</f>
        <v>77245152.1117243</v>
      </c>
      <c r="E132" s="23" t="n">
        <f aca="false">C132*INDEX($F$15:$F$23,B132)*D132</f>
        <v>0</v>
      </c>
      <c r="F132" s="18" t="n">
        <f aca="false">B131</f>
        <v>6</v>
      </c>
      <c r="G132" s="23" t="n">
        <f aca="false">$B$5*$B$6*(1+$B$8)^(A132-1)*INDEX($G$15:$G$23,F132)</f>
        <v>97631.9683367811</v>
      </c>
      <c r="H132" s="24" t="n">
        <f aca="false">(D132+E132)/G132</f>
        <v>791.187081727856</v>
      </c>
      <c r="I132" s="24" t="n">
        <f aca="false">I131+H132/60</f>
        <v>270.773198866645</v>
      </c>
      <c r="J132" s="3" t="str">
        <f aca="false">IF(I132&gt;=$C$33,"Later",INDEX($A$27:$A$33,MATCH(I132,$B$27:$B$33,1)))</f>
        <v>Hour 1 to day 7</v>
      </c>
      <c r="K132" s="23" t="n">
        <f aca="false">G132*$B$12</f>
        <v>244079.920841953</v>
      </c>
      <c r="L132" s="24" t="n">
        <f aca="false">(D132+E132)/K132</f>
        <v>316.474832691142</v>
      </c>
      <c r="M132" s="24" t="n">
        <f aca="false">M131+L132/60</f>
        <v>108.309279546658</v>
      </c>
    </row>
    <row r="133" customFormat="false" ht="15" hidden="false" customHeight="false" outlineLevel="0" collapsed="false">
      <c r="A133" s="18" t="n">
        <v>81</v>
      </c>
      <c r="B133" s="18" t="n">
        <f aca="false">MATCH(A133,$C$15:$C$23,1)</f>
        <v>6</v>
      </c>
      <c r="C133" s="27" t="n">
        <f aca="false">IF(AND(B133&gt;1,A133=INDEX($C$15:$C$23,B133)),1,0)</f>
        <v>0</v>
      </c>
      <c r="D133" s="23" t="n">
        <f aca="false">D132*INDEX($D$15:$D$23,B133)</f>
        <v>92694182.5340691</v>
      </c>
      <c r="E133" s="23" t="n">
        <f aca="false">C133*INDEX($F$15:$F$23,B133)*D133</f>
        <v>0</v>
      </c>
      <c r="F133" s="18" t="n">
        <f aca="false">B132</f>
        <v>6</v>
      </c>
      <c r="G133" s="23" t="n">
        <f aca="false">$B$5*$B$6*(1+$B$8)^(A133-1)*INDEX($G$15:$G$23,F133)</f>
        <v>107395.165170459</v>
      </c>
      <c r="H133" s="24" t="n">
        <f aca="false">(D133+E133)/G133</f>
        <v>863.113180066752</v>
      </c>
      <c r="I133" s="24" t="n">
        <f aca="false">I132+H133/60</f>
        <v>285.158418534424</v>
      </c>
      <c r="J133" s="3" t="str">
        <f aca="false">IF(I133&gt;=$C$33,"Later",INDEX($A$27:$A$33,MATCH(I133,$B$27:$B$33,1)))</f>
        <v>Hour 1 to day 7</v>
      </c>
      <c r="K133" s="23" t="n">
        <f aca="false">G133*$B$12</f>
        <v>268487.912926148</v>
      </c>
      <c r="L133" s="24" t="n">
        <f aca="false">(D133+E133)/K133</f>
        <v>345.245272026701</v>
      </c>
      <c r="M133" s="24" t="n">
        <f aca="false">M132+L133/60</f>
        <v>114.06336741377</v>
      </c>
    </row>
    <row r="134" customFormat="false" ht="15" hidden="false" customHeight="false" outlineLevel="0" collapsed="false">
      <c r="A134" s="18" t="n">
        <v>82</v>
      </c>
      <c r="B134" s="18" t="n">
        <f aca="false">MATCH(A134,$C$15:$C$23,1)</f>
        <v>6</v>
      </c>
      <c r="C134" s="27" t="n">
        <f aca="false">IF(AND(B134&gt;1,A134=INDEX($C$15:$C$23,B134)),1,0)</f>
        <v>0</v>
      </c>
      <c r="D134" s="23" t="n">
        <f aca="false">D133*INDEX($D$15:$D$23,B134)</f>
        <v>111233019.040883</v>
      </c>
      <c r="E134" s="23" t="n">
        <f aca="false">C134*INDEX($F$15:$F$23,B134)*D134</f>
        <v>0</v>
      </c>
      <c r="F134" s="18" t="n">
        <f aca="false">B133</f>
        <v>6</v>
      </c>
      <c r="G134" s="23" t="n">
        <f aca="false">$B$5*$B$6*(1+$B$8)^(A134-1)*INDEX($G$15:$G$23,F134)</f>
        <v>118134.681687505</v>
      </c>
      <c r="H134" s="24" t="n">
        <f aca="false">(D134+E134)/G134</f>
        <v>941.578014618275</v>
      </c>
      <c r="I134" s="24" t="n">
        <f aca="false">I133+H134/60</f>
        <v>300.851385444729</v>
      </c>
      <c r="J134" s="3" t="str">
        <f aca="false">IF(I134&gt;=$C$33,"Later",INDEX($A$27:$A$33,MATCH(I134,$B$27:$B$33,1)))</f>
        <v>Hour 1 to day 7</v>
      </c>
      <c r="K134" s="23" t="n">
        <f aca="false">G134*$B$12</f>
        <v>295336.704218763</v>
      </c>
      <c r="L134" s="24" t="n">
        <f aca="false">(D134+E134)/K134</f>
        <v>376.63120584731</v>
      </c>
      <c r="M134" s="24" t="n">
        <f aca="false">M133+L134/60</f>
        <v>120.340554177892</v>
      </c>
    </row>
    <row r="135" customFormat="false" ht="15" hidden="false" customHeight="false" outlineLevel="0" collapsed="false">
      <c r="A135" s="18" t="n">
        <v>83</v>
      </c>
      <c r="B135" s="18" t="n">
        <f aca="false">MATCH(A135,$C$15:$C$23,1)</f>
        <v>6</v>
      </c>
      <c r="C135" s="27" t="n">
        <f aca="false">IF(AND(B135&gt;1,A135=INDEX($C$15:$C$23,B135)),1,0)</f>
        <v>0</v>
      </c>
      <c r="D135" s="23" t="n">
        <f aca="false">D134*INDEX($D$15:$D$23,B135)</f>
        <v>133479622.84906</v>
      </c>
      <c r="E135" s="23" t="n">
        <f aca="false">C135*INDEX($F$15:$F$23,B135)*D135</f>
        <v>0</v>
      </c>
      <c r="F135" s="18" t="n">
        <f aca="false">B134</f>
        <v>6</v>
      </c>
      <c r="G135" s="23" t="n">
        <f aca="false">$B$5*$B$6*(1+$B$8)^(A135-1)*INDEX($G$15:$G$23,F135)</f>
        <v>129948.149856256</v>
      </c>
      <c r="H135" s="24" t="n">
        <f aca="false">(D135+E135)/G135</f>
        <v>1027.17601594721</v>
      </c>
      <c r="I135" s="24" t="n">
        <f aca="false">I134+H135/60</f>
        <v>317.970985710516</v>
      </c>
      <c r="J135" s="3" t="str">
        <f aca="false">IF(I135&gt;=$C$33,"Later",INDEX($A$27:$A$33,MATCH(I135,$B$27:$B$33,1)))</f>
        <v>Weeks 2-3</v>
      </c>
      <c r="K135" s="23" t="n">
        <f aca="false">G135*$B$12</f>
        <v>324870.374640639</v>
      </c>
      <c r="L135" s="24" t="n">
        <f aca="false">(D135+E135)/K135</f>
        <v>410.870406378884</v>
      </c>
      <c r="M135" s="24" t="n">
        <f aca="false">M134+L135/60</f>
        <v>127.188394284206</v>
      </c>
    </row>
    <row r="136" customFormat="false" ht="15" hidden="false" customHeight="false" outlineLevel="0" collapsed="false">
      <c r="A136" s="18" t="n">
        <v>84</v>
      </c>
      <c r="B136" s="18" t="n">
        <f aca="false">MATCH(A136,$C$15:$C$23,1)</f>
        <v>6</v>
      </c>
      <c r="C136" s="27" t="n">
        <f aca="false">IF(AND(B136&gt;1,A136=INDEX($C$15:$C$23,B136)),1,0)</f>
        <v>0</v>
      </c>
      <c r="D136" s="23" t="n">
        <f aca="false">D135*INDEX($D$15:$D$23,B136)</f>
        <v>160175547.418871</v>
      </c>
      <c r="E136" s="23" t="n">
        <f aca="false">C136*INDEX($F$15:$F$23,B136)*D136</f>
        <v>0</v>
      </c>
      <c r="F136" s="18" t="n">
        <f aca="false">B135</f>
        <v>6</v>
      </c>
      <c r="G136" s="23" t="n">
        <f aca="false">$B$5*$B$6*(1+$B$8)^(A136-1)*INDEX($G$15:$G$23,F136)</f>
        <v>142942.964841881</v>
      </c>
      <c r="H136" s="24" t="n">
        <f aca="false">(D136+E136)/G136</f>
        <v>1120.55565376059</v>
      </c>
      <c r="I136" s="24" t="n">
        <f aca="false">I135+H136/60</f>
        <v>336.646913273192</v>
      </c>
      <c r="J136" s="3" t="str">
        <f aca="false">IF(I136&gt;=$C$33,"Later",INDEX($A$27:$A$33,MATCH(I136,$B$27:$B$33,1)))</f>
        <v>Weeks 2-3</v>
      </c>
      <c r="K136" s="23" t="n">
        <f aca="false">G136*$B$12</f>
        <v>357357.412104703</v>
      </c>
      <c r="L136" s="24" t="n">
        <f aca="false">(D136+E136)/K136</f>
        <v>448.222261504237</v>
      </c>
      <c r="M136" s="24" t="n">
        <f aca="false">M135+L136/60</f>
        <v>134.658765309277</v>
      </c>
    </row>
    <row r="137" customFormat="false" ht="15" hidden="false" customHeight="false" outlineLevel="0" collapsed="false">
      <c r="A137" s="18" t="n">
        <v>85</v>
      </c>
      <c r="B137" s="18" t="n">
        <f aca="false">MATCH(A137,$C$15:$C$23,1)</f>
        <v>6</v>
      </c>
      <c r="C137" s="27" t="n">
        <f aca="false">IF(AND(B137&gt;1,A137=INDEX($C$15:$C$23,B137)),1,0)</f>
        <v>0</v>
      </c>
      <c r="D137" s="23" t="n">
        <f aca="false">D136*INDEX($D$15:$D$23,B137)</f>
        <v>192210656.902646</v>
      </c>
      <c r="E137" s="23" t="n">
        <f aca="false">C137*INDEX($F$15:$F$23,B137)*D137</f>
        <v>0</v>
      </c>
      <c r="F137" s="18" t="n">
        <f aca="false">B136</f>
        <v>6</v>
      </c>
      <c r="G137" s="23" t="n">
        <f aca="false">$B$5*$B$6*(1+$B$8)^(A137-1)*INDEX($G$15:$G$23,F137)</f>
        <v>157237.261326069</v>
      </c>
      <c r="H137" s="24" t="n">
        <f aca="false">(D137+E137)/G137</f>
        <v>1222.42434955701</v>
      </c>
      <c r="I137" s="24" t="n">
        <f aca="false">I136+H137/60</f>
        <v>357.020652432476</v>
      </c>
      <c r="J137" s="3" t="str">
        <f aca="false">IF(I137&gt;=$C$33,"Later",INDEX($A$27:$A$33,MATCH(I137,$B$27:$B$33,1)))</f>
        <v>Weeks 2-3</v>
      </c>
      <c r="K137" s="23" t="n">
        <f aca="false">G137*$B$12</f>
        <v>393093.153315173</v>
      </c>
      <c r="L137" s="24" t="n">
        <f aca="false">(D137+E137)/K137</f>
        <v>488.969739822803</v>
      </c>
      <c r="M137" s="24" t="n">
        <f aca="false">M136+L137/60</f>
        <v>142.80826097299</v>
      </c>
    </row>
    <row r="138" customFormat="false" ht="15" hidden="false" customHeight="false" outlineLevel="0" collapsed="false">
      <c r="A138" s="18" t="n">
        <v>86</v>
      </c>
      <c r="B138" s="18" t="n">
        <f aca="false">MATCH(A138,$C$15:$C$23,1)</f>
        <v>7</v>
      </c>
      <c r="C138" s="27" t="n">
        <f aca="false">IF(AND(B138&gt;1,A138=INDEX($C$15:$C$23,B138)),1,0)</f>
        <v>1</v>
      </c>
      <c r="D138" s="23" t="n">
        <f aca="false">D137*INDEX($D$15:$D$23,B138)</f>
        <v>230652788.283175</v>
      </c>
      <c r="E138" s="23" t="n">
        <f aca="false">C138*INDEX($F$15:$F$23,B138)*D138</f>
        <v>345979182.424762</v>
      </c>
      <c r="F138" s="18" t="n">
        <f aca="false">B137</f>
        <v>6</v>
      </c>
      <c r="G138" s="23" t="n">
        <f aca="false">$B$5*$B$6*(1+$B$8)^(A138-1)*INDEX($G$15:$G$23,F138)</f>
        <v>172960.987458676</v>
      </c>
      <c r="H138" s="24" t="n">
        <f aca="false">(D138+E138)/G138</f>
        <v>3333.88458970093</v>
      </c>
      <c r="I138" s="24" t="n">
        <f aca="false">I137+H138/60</f>
        <v>412.585395594158</v>
      </c>
      <c r="J138" s="3" t="str">
        <f aca="false">IF(I138&gt;=$C$33,"Later",INDEX($A$27:$A$33,MATCH(I138,$B$27:$B$33,1)))</f>
        <v>Weeks 2-3</v>
      </c>
      <c r="K138" s="23" t="n">
        <f aca="false">G138*$B$12</f>
        <v>432402.468646691</v>
      </c>
      <c r="L138" s="24" t="n">
        <f aca="false">(D138+E138)/K138</f>
        <v>1333.55383588037</v>
      </c>
      <c r="M138" s="24" t="n">
        <f aca="false">M137+L138/60</f>
        <v>165.034158237663</v>
      </c>
    </row>
    <row r="139" customFormat="false" ht="15" hidden="false" customHeight="false" outlineLevel="0" collapsed="false">
      <c r="A139" s="18" t="n">
        <v>87</v>
      </c>
      <c r="B139" s="18" t="n">
        <f aca="false">MATCH(A139,$C$15:$C$23,1)</f>
        <v>7</v>
      </c>
      <c r="C139" s="27" t="n">
        <f aca="false">IF(AND(B139&gt;1,A139=INDEX($C$15:$C$23,B139)),1,0)</f>
        <v>0</v>
      </c>
      <c r="D139" s="23" t="n">
        <f aca="false">D138*INDEX($D$15:$D$23,B139)</f>
        <v>276783345.93981</v>
      </c>
      <c r="E139" s="23" t="n">
        <f aca="false">C139*INDEX($F$15:$F$23,B139)*D139</f>
        <v>0</v>
      </c>
      <c r="F139" s="18" t="n">
        <f aca="false">B138</f>
        <v>7</v>
      </c>
      <c r="G139" s="23" t="n">
        <f aca="false">$B$5*$B$6*(1+$B$8)^(A139-1)*INDEX($G$15:$G$23,F139)</f>
        <v>304411.33792727</v>
      </c>
      <c r="H139" s="24" t="n">
        <f aca="false">(D139+E139)/G139</f>
        <v>909.241251736618</v>
      </c>
      <c r="I139" s="24" t="n">
        <f aca="false">I138+H139/60</f>
        <v>427.739416456435</v>
      </c>
      <c r="J139" s="3" t="str">
        <f aca="false">IF(I139&gt;=$C$33,"Later",INDEX($A$27:$A$33,MATCH(I139,$B$27:$B$33,1)))</f>
        <v>Weeks 2-3</v>
      </c>
      <c r="K139" s="23" t="n">
        <f aca="false">G139*$B$12</f>
        <v>761028.344818176</v>
      </c>
      <c r="L139" s="24" t="n">
        <f aca="false">(D139+E139)/K139</f>
        <v>363.696500694647</v>
      </c>
      <c r="M139" s="24" t="n">
        <f aca="false">M138+L139/60</f>
        <v>171.095766582574</v>
      </c>
    </row>
    <row r="140" customFormat="false" ht="15" hidden="false" customHeight="false" outlineLevel="0" collapsed="false">
      <c r="A140" s="18" t="n">
        <v>88</v>
      </c>
      <c r="B140" s="18" t="n">
        <f aca="false">MATCH(A140,$C$15:$C$23,1)</f>
        <v>7</v>
      </c>
      <c r="C140" s="27" t="n">
        <f aca="false">IF(AND(B140&gt;1,A140=INDEX($C$15:$C$23,B140)),1,0)</f>
        <v>0</v>
      </c>
      <c r="D140" s="23" t="n">
        <f aca="false">D139*INDEX($D$15:$D$23,B140)</f>
        <v>332140015.127772</v>
      </c>
      <c r="E140" s="23" t="n">
        <f aca="false">C140*INDEX($F$15:$F$23,B140)*D140</f>
        <v>0</v>
      </c>
      <c r="F140" s="18" t="n">
        <f aca="false">B139</f>
        <v>7</v>
      </c>
      <c r="G140" s="23" t="n">
        <f aca="false">$B$5*$B$6*(1+$B$8)^(A140-1)*INDEX($G$15:$G$23,F140)</f>
        <v>334852.471719997</v>
      </c>
      <c r="H140" s="24" t="n">
        <f aca="false">(D140+E140)/G140</f>
        <v>991.899547349037</v>
      </c>
      <c r="I140" s="24" t="n">
        <f aca="false">I139+H140/60</f>
        <v>444.271075578919</v>
      </c>
      <c r="J140" s="3" t="str">
        <f aca="false">IF(I140&gt;=$C$33,"Later",INDEX($A$27:$A$33,MATCH(I140,$B$27:$B$33,1)))</f>
        <v>Weeks 2-3</v>
      </c>
      <c r="K140" s="23" t="n">
        <f aca="false">G140*$B$12</f>
        <v>837131.179299994</v>
      </c>
      <c r="L140" s="24" t="n">
        <f aca="false">(D140+E140)/K140</f>
        <v>396.759818939615</v>
      </c>
      <c r="M140" s="24" t="n">
        <f aca="false">M139+L140/60</f>
        <v>177.708430231568</v>
      </c>
    </row>
    <row r="141" customFormat="false" ht="15" hidden="false" customHeight="false" outlineLevel="0" collapsed="false">
      <c r="A141" s="18" t="n">
        <v>89</v>
      </c>
      <c r="B141" s="18" t="n">
        <f aca="false">MATCH(A141,$C$15:$C$23,1)</f>
        <v>7</v>
      </c>
      <c r="C141" s="27" t="n">
        <f aca="false">IF(AND(B141&gt;1,A141=INDEX($C$15:$C$23,B141)),1,0)</f>
        <v>0</v>
      </c>
      <c r="D141" s="23" t="n">
        <f aca="false">D140*INDEX($D$15:$D$23,B141)</f>
        <v>398568018.153326</v>
      </c>
      <c r="E141" s="23" t="n">
        <f aca="false">C141*INDEX($F$15:$F$23,B141)*D141</f>
        <v>0</v>
      </c>
      <c r="F141" s="18" t="n">
        <f aca="false">B140</f>
        <v>7</v>
      </c>
      <c r="G141" s="23" t="n">
        <f aca="false">$B$5*$B$6*(1+$B$8)^(A141-1)*INDEX($G$15:$G$23,F141)</f>
        <v>368337.718891997</v>
      </c>
      <c r="H141" s="24" t="n">
        <f aca="false">(D141+E141)/G141</f>
        <v>1082.07223347168</v>
      </c>
      <c r="I141" s="24" t="n">
        <f aca="false">I140+H141/60</f>
        <v>462.305612803447</v>
      </c>
      <c r="J141" s="3" t="str">
        <f aca="false">IF(I141&gt;=$C$33,"Later",INDEX($A$27:$A$33,MATCH(I141,$B$27:$B$33,1)))</f>
        <v>Weeks 2-3</v>
      </c>
      <c r="K141" s="23" t="n">
        <f aca="false">G141*$B$12</f>
        <v>920844.297229993</v>
      </c>
      <c r="L141" s="24" t="n">
        <f aca="false">(D141+E141)/K141</f>
        <v>432.828893388671</v>
      </c>
      <c r="M141" s="24" t="n">
        <f aca="false">M140+L141/60</f>
        <v>184.922245121379</v>
      </c>
    </row>
    <row r="142" customFormat="false" ht="15" hidden="false" customHeight="false" outlineLevel="0" collapsed="false">
      <c r="A142" s="18" t="n">
        <v>90</v>
      </c>
      <c r="B142" s="18" t="n">
        <f aca="false">MATCH(A142,$C$15:$C$23,1)</f>
        <v>7</v>
      </c>
      <c r="C142" s="27" t="n">
        <f aca="false">IF(AND(B142&gt;1,A142=INDEX($C$15:$C$23,B142)),1,0)</f>
        <v>0</v>
      </c>
      <c r="D142" s="23" t="n">
        <f aca="false">D141*INDEX($D$15:$D$23,B142)</f>
        <v>478281621.783991</v>
      </c>
      <c r="E142" s="23" t="n">
        <f aca="false">C142*INDEX($F$15:$F$23,B142)*D142</f>
        <v>0</v>
      </c>
      <c r="F142" s="18" t="n">
        <f aca="false">B141</f>
        <v>7</v>
      </c>
      <c r="G142" s="23" t="n">
        <f aca="false">$B$5*$B$6*(1+$B$8)^(A142-1)*INDEX($G$15:$G$23,F142)</f>
        <v>405171.490781197</v>
      </c>
      <c r="H142" s="24" t="n">
        <f aca="false">(D142+E142)/G142</f>
        <v>1180.44243651456</v>
      </c>
      <c r="I142" s="24" t="n">
        <f aca="false">I141+H142/60</f>
        <v>481.979653412023</v>
      </c>
      <c r="J142" s="3" t="str">
        <f aca="false">IF(I142&gt;=$C$33,"Later",INDEX($A$27:$A$33,MATCH(I142,$B$27:$B$33,1)))</f>
        <v>Weeks 2-3</v>
      </c>
      <c r="K142" s="23" t="n">
        <f aca="false">G142*$B$12</f>
        <v>1012928.72695299</v>
      </c>
      <c r="L142" s="24" t="n">
        <f aca="false">(D142+E142)/K142</f>
        <v>472.176974605823</v>
      </c>
      <c r="M142" s="24" t="n">
        <f aca="false">M141+L142/60</f>
        <v>192.791861364809</v>
      </c>
    </row>
    <row r="143" customFormat="false" ht="15" hidden="false" customHeight="false" outlineLevel="0" collapsed="false">
      <c r="A143" s="18" t="n">
        <v>91</v>
      </c>
      <c r="B143" s="18" t="n">
        <f aca="false">MATCH(A143,$C$15:$C$23,1)</f>
        <v>7</v>
      </c>
      <c r="C143" s="27" t="n">
        <f aca="false">IF(AND(B143&gt;1,A143=INDEX($C$15:$C$23,B143)),1,0)</f>
        <v>0</v>
      </c>
      <c r="D143" s="23" t="n">
        <f aca="false">D142*INDEX($D$15:$D$23,B143)</f>
        <v>573937946.14079</v>
      </c>
      <c r="E143" s="23" t="n">
        <f aca="false">C143*INDEX($F$15:$F$23,B143)*D143</f>
        <v>0</v>
      </c>
      <c r="F143" s="18" t="n">
        <f aca="false">B142</f>
        <v>7</v>
      </c>
      <c r="G143" s="23" t="n">
        <f aca="false">$B$5*$B$6*(1+$B$8)^(A143-1)*INDEX($G$15:$G$23,F143)</f>
        <v>445688.639859317</v>
      </c>
      <c r="H143" s="24" t="n">
        <f aca="false">(D143+E143)/G143</f>
        <v>1287.75538528861</v>
      </c>
      <c r="I143" s="24" t="n">
        <f aca="false">I142+H143/60</f>
        <v>503.442243166833</v>
      </c>
      <c r="J143" s="3" t="str">
        <f aca="false">IF(I143&gt;=$C$33,"Later",INDEX($A$27:$A$33,MATCH(I143,$B$27:$B$33,1)))</f>
        <v>Weeks 2-3</v>
      </c>
      <c r="K143" s="23" t="n">
        <f aca="false">G143*$B$12</f>
        <v>1114221.59964829</v>
      </c>
      <c r="L143" s="24" t="n">
        <f aca="false">(D143+E143)/K143</f>
        <v>515.102154115443</v>
      </c>
      <c r="M143" s="24" t="n">
        <f aca="false">M142+L143/60</f>
        <v>201.376897266733</v>
      </c>
    </row>
    <row r="144" customFormat="false" ht="15" hidden="false" customHeight="false" outlineLevel="0" collapsed="false">
      <c r="A144" s="18" t="n">
        <v>92</v>
      </c>
      <c r="B144" s="18" t="n">
        <f aca="false">MATCH(A144,$C$15:$C$23,1)</f>
        <v>7</v>
      </c>
      <c r="C144" s="27" t="n">
        <f aca="false">IF(AND(B144&gt;1,A144=INDEX($C$15:$C$23,B144)),1,0)</f>
        <v>0</v>
      </c>
      <c r="D144" s="23" t="n">
        <f aca="false">D143*INDEX($D$15:$D$23,B144)</f>
        <v>688725535.368947</v>
      </c>
      <c r="E144" s="23" t="n">
        <f aca="false">C144*INDEX($F$15:$F$23,B144)*D144</f>
        <v>0</v>
      </c>
      <c r="F144" s="18" t="n">
        <f aca="false">B143</f>
        <v>7</v>
      </c>
      <c r="G144" s="23" t="n">
        <f aca="false">$B$5*$B$6*(1+$B$8)^(A144-1)*INDEX($G$15:$G$23,F144)</f>
        <v>490257.503845248</v>
      </c>
      <c r="H144" s="24" t="n">
        <f aca="false">(D144+E144)/G144</f>
        <v>1404.82405667848</v>
      </c>
      <c r="I144" s="24" t="n">
        <f aca="false">I143+H144/60</f>
        <v>526.855977444807</v>
      </c>
      <c r="J144" s="3" t="str">
        <f aca="false">IF(I144&gt;=$C$33,"Later",INDEX($A$27:$A$33,MATCH(I144,$B$27:$B$33,1)))</f>
        <v>Weeks 2-3</v>
      </c>
      <c r="K144" s="23" t="n">
        <f aca="false">G144*$B$12</f>
        <v>1225643.75961312</v>
      </c>
      <c r="L144" s="24" t="n">
        <f aca="false">(D144+E144)/K144</f>
        <v>561.929622671392</v>
      </c>
      <c r="M144" s="24" t="n">
        <f aca="false">M143+L144/60</f>
        <v>210.742390977923</v>
      </c>
    </row>
    <row r="145" customFormat="false" ht="15" hidden="false" customHeight="false" outlineLevel="0" collapsed="false">
      <c r="A145" s="18" t="n">
        <v>93</v>
      </c>
      <c r="B145" s="18" t="n">
        <f aca="false">MATCH(A145,$C$15:$C$23,1)</f>
        <v>7</v>
      </c>
      <c r="C145" s="27" t="n">
        <f aca="false">IF(AND(B145&gt;1,A145=INDEX($C$15:$C$23,B145)),1,0)</f>
        <v>0</v>
      </c>
      <c r="D145" s="23" t="n">
        <f aca="false">D144*INDEX($D$15:$D$23,B145)</f>
        <v>826470642.442737</v>
      </c>
      <c r="E145" s="23" t="n">
        <f aca="false">C145*INDEX($F$15:$F$23,B145)*D145</f>
        <v>0</v>
      </c>
      <c r="F145" s="18" t="n">
        <f aca="false">B144</f>
        <v>7</v>
      </c>
      <c r="G145" s="23" t="n">
        <f aca="false">$B$5*$B$6*(1+$B$8)^(A145-1)*INDEX($G$15:$G$23,F145)</f>
        <v>539283.254229773</v>
      </c>
      <c r="H145" s="24" t="n">
        <f aca="false">(D145+E145)/G145</f>
        <v>1532.53533455834</v>
      </c>
      <c r="I145" s="24" t="n">
        <f aca="false">I144+H145/60</f>
        <v>552.39823302078</v>
      </c>
      <c r="J145" s="3" t="str">
        <f aca="false">IF(I145&gt;=$C$33,"Later",INDEX($A$27:$A$33,MATCH(I145,$B$27:$B$33,1)))</f>
        <v>Weeks 2-3</v>
      </c>
      <c r="K145" s="23" t="n">
        <f aca="false">G145*$B$12</f>
        <v>1348208.13557443</v>
      </c>
      <c r="L145" s="24" t="n">
        <f aca="false">(D145+E145)/K145</f>
        <v>613.014133823337</v>
      </c>
      <c r="M145" s="24" t="n">
        <f aca="false">M144+L145/60</f>
        <v>220.959293208312</v>
      </c>
    </row>
    <row r="146" customFormat="false" ht="15" hidden="false" customHeight="false" outlineLevel="0" collapsed="false">
      <c r="A146" s="18" t="n">
        <v>94</v>
      </c>
      <c r="B146" s="18" t="n">
        <f aca="false">MATCH(A146,$C$15:$C$23,1)</f>
        <v>7</v>
      </c>
      <c r="C146" s="27" t="n">
        <f aca="false">IF(AND(B146&gt;1,A146=INDEX($C$15:$C$23,B146)),1,0)</f>
        <v>0</v>
      </c>
      <c r="D146" s="23" t="n">
        <f aca="false">D145*INDEX($D$15:$D$23,B146)</f>
        <v>991764770.931284</v>
      </c>
      <c r="E146" s="23" t="n">
        <f aca="false">C146*INDEX($F$15:$F$23,B146)*D146</f>
        <v>0</v>
      </c>
      <c r="F146" s="18" t="n">
        <f aca="false">B145</f>
        <v>7</v>
      </c>
      <c r="G146" s="23" t="n">
        <f aca="false">$B$5*$B$6*(1+$B$8)^(A146-1)*INDEX($G$15:$G$23,F146)</f>
        <v>593211.579652751</v>
      </c>
      <c r="H146" s="24" t="n">
        <f aca="false">(D146+E146)/G146</f>
        <v>1671.8567286091</v>
      </c>
      <c r="I146" s="24" t="n">
        <f aca="false">I145+H146/60</f>
        <v>580.262511830931</v>
      </c>
      <c r="J146" s="3" t="str">
        <f aca="false">IF(I146&gt;=$C$33,"Later",INDEX($A$27:$A$33,MATCH(I146,$B$27:$B$33,1)))</f>
        <v>Weeks 2-3</v>
      </c>
      <c r="K146" s="23" t="n">
        <f aca="false">G146*$B$12</f>
        <v>1483028.94913188</v>
      </c>
      <c r="L146" s="24" t="n">
        <f aca="false">(D146+E146)/K146</f>
        <v>668.74269144364</v>
      </c>
      <c r="M146" s="24" t="n">
        <f aca="false">M145+L146/60</f>
        <v>232.105004732373</v>
      </c>
    </row>
    <row r="147" customFormat="false" ht="15" hidden="false" customHeight="false" outlineLevel="0" collapsed="false">
      <c r="A147" s="18" t="n">
        <v>95</v>
      </c>
      <c r="B147" s="18" t="n">
        <f aca="false">MATCH(A147,$C$15:$C$23,1)</f>
        <v>7</v>
      </c>
      <c r="C147" s="27" t="n">
        <f aca="false">IF(AND(B147&gt;1,A147=INDEX($C$15:$C$23,B147)),1,0)</f>
        <v>0</v>
      </c>
      <c r="D147" s="23" t="n">
        <f aca="false">D146*INDEX($D$15:$D$23,B147)</f>
        <v>1190117725.11754</v>
      </c>
      <c r="E147" s="23" t="n">
        <f aca="false">C147*INDEX($F$15:$F$23,B147)*D147</f>
        <v>0</v>
      </c>
      <c r="F147" s="18" t="n">
        <f aca="false">B146</f>
        <v>7</v>
      </c>
      <c r="G147" s="23" t="n">
        <f aca="false">$B$5*$B$6*(1+$B$8)^(A147-1)*INDEX($G$15:$G$23,F147)</f>
        <v>652532.737618026</v>
      </c>
      <c r="H147" s="24" t="n">
        <f aca="false">(D147+E147)/G147</f>
        <v>1823.8437039372</v>
      </c>
      <c r="I147" s="24" t="n">
        <f aca="false">I146+H147/60</f>
        <v>610.659906896551</v>
      </c>
      <c r="J147" s="3" t="str">
        <f aca="false">IF(I147&gt;=$C$33,"Later",INDEX($A$27:$A$33,MATCH(I147,$B$27:$B$33,1)))</f>
        <v>Weeks 2-3</v>
      </c>
      <c r="K147" s="23" t="n">
        <f aca="false">G147*$B$12</f>
        <v>1631331.84404506</v>
      </c>
      <c r="L147" s="24" t="n">
        <f aca="false">(D147+E147)/K147</f>
        <v>729.53748157488</v>
      </c>
      <c r="M147" s="24" t="n">
        <f aca="false">M146+L147/60</f>
        <v>244.263962758621</v>
      </c>
    </row>
    <row r="148" customFormat="false" ht="15" hidden="false" customHeight="false" outlineLevel="0" collapsed="false">
      <c r="A148" s="18" t="n">
        <v>96</v>
      </c>
      <c r="B148" s="18" t="n">
        <f aca="false">MATCH(A148,$C$15:$C$23,1)</f>
        <v>7</v>
      </c>
      <c r="C148" s="27" t="n">
        <f aca="false">IF(AND(B148&gt;1,A148=INDEX($C$15:$C$23,B148)),1,0)</f>
        <v>0</v>
      </c>
      <c r="D148" s="23" t="n">
        <f aca="false">D147*INDEX($D$15:$D$23,B148)</f>
        <v>1428141270.14105</v>
      </c>
      <c r="E148" s="23" t="n">
        <f aca="false">C148*INDEX($F$15:$F$23,B148)*D148</f>
        <v>0</v>
      </c>
      <c r="F148" s="18" t="n">
        <f aca="false">B147</f>
        <v>7</v>
      </c>
      <c r="G148" s="23" t="n">
        <f aca="false">$B$5*$B$6*(1+$B$8)^(A148-1)*INDEX($G$15:$G$23,F148)</f>
        <v>717786.011379828</v>
      </c>
      <c r="H148" s="24" t="n">
        <f aca="false">(D148+E148)/G148</f>
        <v>1989.6476770224</v>
      </c>
      <c r="I148" s="24" t="n">
        <f aca="false">I147+H148/60</f>
        <v>643.820701513591</v>
      </c>
      <c r="J148" s="3" t="str">
        <f aca="false">IF(I148&gt;=$C$33,"Later",INDEX($A$27:$A$33,MATCH(I148,$B$27:$B$33,1)))</f>
        <v>Weeks 2-3</v>
      </c>
      <c r="K148" s="23" t="n">
        <f aca="false">G148*$B$12</f>
        <v>1794465.02844957</v>
      </c>
      <c r="L148" s="24" t="n">
        <f aca="false">(D148+E148)/K148</f>
        <v>795.85907080896</v>
      </c>
      <c r="M148" s="24" t="n">
        <f aca="false">M147+L148/60</f>
        <v>257.528280605437</v>
      </c>
    </row>
    <row r="149" customFormat="false" ht="15" hidden="false" customHeight="false" outlineLevel="0" collapsed="false">
      <c r="A149" s="18" t="n">
        <v>97</v>
      </c>
      <c r="B149" s="18" t="n">
        <f aca="false">MATCH(A149,$C$15:$C$23,1)</f>
        <v>7</v>
      </c>
      <c r="C149" s="27" t="n">
        <f aca="false">IF(AND(B149&gt;1,A149=INDEX($C$15:$C$23,B149)),1,0)</f>
        <v>0</v>
      </c>
      <c r="D149" s="23" t="n">
        <f aca="false">D148*INDEX($D$15:$D$23,B149)</f>
        <v>1713769524.16926</v>
      </c>
      <c r="E149" s="23" t="n">
        <f aca="false">C149*INDEX($F$15:$F$23,B149)*D149</f>
        <v>0</v>
      </c>
      <c r="F149" s="18" t="n">
        <f aca="false">B148</f>
        <v>7</v>
      </c>
      <c r="G149" s="23" t="n">
        <f aca="false">$B$5*$B$6*(1+$B$8)^(A149-1)*INDEX($G$15:$G$23,F149)</f>
        <v>789564.612517811</v>
      </c>
      <c r="H149" s="24" t="n">
        <f aca="false">(D149+E149)/G149</f>
        <v>2170.52473856989</v>
      </c>
      <c r="I149" s="24" t="n">
        <f aca="false">I148+H149/60</f>
        <v>679.99611382309</v>
      </c>
      <c r="J149" s="3" t="str">
        <f aca="false">IF(I149&gt;=$C$33,"Later",INDEX($A$27:$A$33,MATCH(I149,$B$27:$B$33,1)))</f>
        <v>Weeks 2-3</v>
      </c>
      <c r="K149" s="23" t="n">
        <f aca="false">G149*$B$12</f>
        <v>1973911.53129453</v>
      </c>
      <c r="L149" s="24" t="n">
        <f aca="false">(D149+E149)/K149</f>
        <v>868.209895427956</v>
      </c>
      <c r="M149" s="24" t="n">
        <f aca="false">M148+L149/60</f>
        <v>271.998445529236</v>
      </c>
    </row>
    <row r="150" customFormat="false" ht="15" hidden="false" customHeight="false" outlineLevel="0" collapsed="false">
      <c r="A150" s="18" t="n">
        <v>98</v>
      </c>
      <c r="B150" s="18" t="n">
        <f aca="false">MATCH(A150,$C$15:$C$23,1)</f>
        <v>8</v>
      </c>
      <c r="C150" s="27" t="n">
        <f aca="false">IF(AND(B150&gt;1,A150=INDEX($C$15:$C$23,B150)),1,0)</f>
        <v>1</v>
      </c>
      <c r="D150" s="23" t="n">
        <f aca="false">D149*INDEX($D$15:$D$23,B150)</f>
        <v>2056523429.00311</v>
      </c>
      <c r="E150" s="23" t="n">
        <f aca="false">C150*INDEX($F$15:$F$23,B150)*D150</f>
        <v>3084785143.50467</v>
      </c>
      <c r="F150" s="18" t="n">
        <f aca="false">B149</f>
        <v>7</v>
      </c>
      <c r="G150" s="23" t="n">
        <f aca="false">$B$5*$B$6*(1+$B$8)^(A150-1)*INDEX($G$15:$G$23,F150)</f>
        <v>868521.073769592</v>
      </c>
      <c r="H150" s="24" t="n">
        <f aca="false">(D150+E150)/G150</f>
        <v>5919.61292337243</v>
      </c>
      <c r="I150" s="24" t="n">
        <f aca="false">I149+H150/60</f>
        <v>778.65632921263</v>
      </c>
      <c r="J150" s="3" t="str">
        <f aca="false">IF(I150&gt;=$C$33,"Later",INDEX($A$27:$A$33,MATCH(I150,$B$27:$B$33,1)))</f>
        <v>Weeks 2-3</v>
      </c>
      <c r="K150" s="23" t="n">
        <f aca="false">G150*$B$12</f>
        <v>2171302.68442398</v>
      </c>
      <c r="L150" s="24" t="n">
        <f aca="false">(D150+E150)/K150</f>
        <v>2367.84516934897</v>
      </c>
      <c r="M150" s="24" t="n">
        <f aca="false">M149+L150/60</f>
        <v>311.462531685052</v>
      </c>
    </row>
    <row r="151" customFormat="false" ht="15" hidden="false" customHeight="false" outlineLevel="0" collapsed="false">
      <c r="A151" s="18" t="n">
        <v>99</v>
      </c>
      <c r="B151" s="18" t="n">
        <f aca="false">MATCH(A151,$C$15:$C$23,1)</f>
        <v>8</v>
      </c>
      <c r="C151" s="27" t="n">
        <f aca="false">IF(AND(B151&gt;1,A151=INDEX($C$15:$C$23,B151)),1,0)</f>
        <v>0</v>
      </c>
      <c r="D151" s="23" t="n">
        <f aca="false">D150*INDEX($D$15:$D$23,B151)</f>
        <v>2467828114.80373</v>
      </c>
      <c r="E151" s="23" t="n">
        <f aca="false">C151*INDEX($F$15:$F$23,B151)*D151</f>
        <v>0</v>
      </c>
      <c r="F151" s="18" t="n">
        <f aca="false">B150</f>
        <v>8</v>
      </c>
      <c r="G151" s="23" t="n">
        <f aca="false">$B$5*$B$6*(1+$B$8)^(A151-1)*INDEX($G$15:$G$23,F151)</f>
        <v>1528597.08983448</v>
      </c>
      <c r="H151" s="24" t="n">
        <f aca="false">(D151+E151)/G151</f>
        <v>1614.43988819248</v>
      </c>
      <c r="I151" s="24" t="n">
        <f aca="false">I150+H151/60</f>
        <v>805.563660682505</v>
      </c>
      <c r="J151" s="3" t="str">
        <f aca="false">IF(I151&gt;=$C$33,"Later",INDEX($A$27:$A$33,MATCH(I151,$B$27:$B$33,1)))</f>
        <v>Weeks 2-3</v>
      </c>
      <c r="K151" s="23" t="n">
        <f aca="false">G151*$B$12</f>
        <v>3821492.72458621</v>
      </c>
      <c r="L151" s="24" t="n">
        <f aca="false">(D151+E151)/K151</f>
        <v>645.775955276992</v>
      </c>
      <c r="M151" s="24" t="n">
        <f aca="false">M150+L151/60</f>
        <v>322.225464273002</v>
      </c>
    </row>
    <row r="152" customFormat="false" ht="15" hidden="false" customHeight="false" outlineLevel="0" collapsed="false">
      <c r="A152" s="18" t="n">
        <v>100</v>
      </c>
      <c r="B152" s="18" t="n">
        <f aca="false">MATCH(A152,$C$15:$C$23,1)</f>
        <v>8</v>
      </c>
      <c r="C152" s="27" t="n">
        <f aca="false">IF(AND(B152&gt;1,A152=INDEX($C$15:$C$23,B152)),1,0)</f>
        <v>0</v>
      </c>
      <c r="D152" s="23" t="n">
        <f aca="false">D151*INDEX($D$15:$D$23,B152)</f>
        <v>2961393737.76448</v>
      </c>
      <c r="E152" s="23" t="n">
        <f aca="false">C152*INDEX($F$15:$F$23,B152)*D152</f>
        <v>0</v>
      </c>
      <c r="F152" s="18" t="n">
        <f aca="false">B151</f>
        <v>8</v>
      </c>
      <c r="G152" s="23" t="n">
        <f aca="false">$B$5*$B$6*(1+$B$8)^(A152-1)*INDEX($G$15:$G$23,F152)</f>
        <v>1681456.79881793</v>
      </c>
      <c r="H152" s="24" t="n">
        <f aca="false">(D152+E152)/G152</f>
        <v>1761.20715075543</v>
      </c>
      <c r="I152" s="24" t="n">
        <f aca="false">I151+H152/60</f>
        <v>834.917113195095</v>
      </c>
      <c r="J152" s="3" t="str">
        <f aca="false">IF(I152&gt;=$C$33,"Later",INDEX($A$27:$A$33,MATCH(I152,$B$27:$B$33,1)))</f>
        <v>Weeks 2-3</v>
      </c>
      <c r="K152" s="23" t="n">
        <f aca="false">G152*$B$12</f>
        <v>4203641.99704483</v>
      </c>
      <c r="L152" s="24" t="n">
        <f aca="false">(D152+E152)/K152</f>
        <v>704.482860302173</v>
      </c>
      <c r="M152" s="24" t="n">
        <f aca="false">M151+L152/60</f>
        <v>333.966845278038</v>
      </c>
    </row>
    <row r="153" customFormat="false" ht="15" hidden="false" customHeight="false" outlineLevel="0" collapsed="false">
      <c r="A153" s="18" t="n">
        <v>101</v>
      </c>
      <c r="B153" s="18" t="n">
        <f aca="false">MATCH(A153,$C$15:$C$23,1)</f>
        <v>8</v>
      </c>
      <c r="C153" s="27" t="n">
        <f aca="false">IF(AND(B153&gt;1,A153=INDEX($C$15:$C$23,B153)),1,0)</f>
        <v>0</v>
      </c>
      <c r="D153" s="23" t="n">
        <f aca="false">D152*INDEX($D$15:$D$23,B153)</f>
        <v>3553672485.31737</v>
      </c>
      <c r="E153" s="23" t="n">
        <f aca="false">C153*INDEX($F$15:$F$23,B153)*D153</f>
        <v>0</v>
      </c>
      <c r="F153" s="18" t="n">
        <f aca="false">B152</f>
        <v>8</v>
      </c>
      <c r="G153" s="23" t="n">
        <f aca="false">$B$5*$B$6*(1+$B$8)^(A153-1)*INDEX($G$15:$G$23,F153)</f>
        <v>1849602.47869972</v>
      </c>
      <c r="H153" s="24" t="n">
        <f aca="false">(D153+E153)/G153</f>
        <v>1921.3168917332</v>
      </c>
      <c r="I153" s="24" t="n">
        <f aca="false">I152+H153/60</f>
        <v>866.939061390649</v>
      </c>
      <c r="J153" s="3" t="str">
        <f aca="false">IF(I153&gt;=$C$33,"Later",INDEX($A$27:$A$33,MATCH(I153,$B$27:$B$33,1)))</f>
        <v>Weeks 2-3</v>
      </c>
      <c r="K153" s="23" t="n">
        <f aca="false">G153*$B$12</f>
        <v>4624006.19674931</v>
      </c>
      <c r="L153" s="24" t="n">
        <f aca="false">(D153+E153)/K153</f>
        <v>768.526756693279</v>
      </c>
      <c r="M153" s="24" t="n">
        <f aca="false">M152+L153/60</f>
        <v>346.775624556259</v>
      </c>
    </row>
    <row r="154" customFormat="false" ht="15" hidden="false" customHeight="false" outlineLevel="0" collapsed="false">
      <c r="A154" s="18" t="n">
        <v>102</v>
      </c>
      <c r="B154" s="18" t="n">
        <f aca="false">MATCH(A154,$C$15:$C$23,1)</f>
        <v>8</v>
      </c>
      <c r="C154" s="27" t="n">
        <f aca="false">IF(AND(B154&gt;1,A154=INDEX($C$15:$C$23,B154)),1,0)</f>
        <v>0</v>
      </c>
      <c r="D154" s="23" t="n">
        <f aca="false">D153*INDEX($D$15:$D$23,B154)</f>
        <v>4264406982.38085</v>
      </c>
      <c r="E154" s="23" t="n">
        <f aca="false">C154*INDEX($F$15:$F$23,B154)*D154</f>
        <v>0</v>
      </c>
      <c r="F154" s="18" t="n">
        <f aca="false">B153</f>
        <v>8</v>
      </c>
      <c r="G154" s="23" t="n">
        <f aca="false">$B$5*$B$6*(1+$B$8)^(A154-1)*INDEX($G$15:$G$23,F154)</f>
        <v>2034562.7265697</v>
      </c>
      <c r="H154" s="24" t="n">
        <f aca="false">(D154+E154)/G154</f>
        <v>2095.98206370894</v>
      </c>
      <c r="I154" s="24" t="n">
        <f aca="false">I153+H154/60</f>
        <v>901.872095785798</v>
      </c>
      <c r="J154" s="3" t="str">
        <f aca="false">IF(I154&gt;=$C$33,"Later",INDEX($A$27:$A$33,MATCH(I154,$B$27:$B$33,1)))</f>
        <v>Weeks 2-3</v>
      </c>
      <c r="K154" s="23" t="n">
        <f aca="false">G154*$B$12</f>
        <v>5086406.81642424</v>
      </c>
      <c r="L154" s="24" t="n">
        <f aca="false">(D154+E154)/K154</f>
        <v>838.392825483577</v>
      </c>
      <c r="M154" s="24" t="n">
        <f aca="false">M153+L154/60</f>
        <v>360.748838314319</v>
      </c>
    </row>
    <row r="155" customFormat="false" ht="15" hidden="false" customHeight="false" outlineLevel="0" collapsed="false">
      <c r="A155" s="18" t="n">
        <v>103</v>
      </c>
      <c r="B155" s="18" t="n">
        <f aca="false">MATCH(A155,$C$15:$C$23,1)</f>
        <v>8</v>
      </c>
      <c r="C155" s="27" t="n">
        <f aca="false">IF(AND(B155&gt;1,A155=INDEX($C$15:$C$23,B155)),1,0)</f>
        <v>0</v>
      </c>
      <c r="D155" s="23" t="n">
        <f aca="false">D154*INDEX($D$15:$D$23,B155)</f>
        <v>5117288378.85702</v>
      </c>
      <c r="E155" s="23" t="n">
        <f aca="false">C155*INDEX($F$15:$F$23,B155)*D155</f>
        <v>0</v>
      </c>
      <c r="F155" s="18" t="n">
        <f aca="false">B154</f>
        <v>8</v>
      </c>
      <c r="G155" s="23" t="n">
        <f aca="false">$B$5*$B$6*(1+$B$8)^(A155-1)*INDEX($G$15:$G$23,F155)</f>
        <v>2238018.99922667</v>
      </c>
      <c r="H155" s="24" t="n">
        <f aca="false">(D155+E155)/G155</f>
        <v>2286.52588768248</v>
      </c>
      <c r="I155" s="24" t="n">
        <f aca="false">I154+H155/60</f>
        <v>939.980860580506</v>
      </c>
      <c r="J155" s="3" t="str">
        <f aca="false">IF(I155&gt;=$C$33,"Later",INDEX($A$27:$A$33,MATCH(I155,$B$27:$B$33,1)))</f>
        <v>Weeks 2-3</v>
      </c>
      <c r="K155" s="23" t="n">
        <f aca="false">G155*$B$12</f>
        <v>5595047.49806667</v>
      </c>
      <c r="L155" s="24" t="n">
        <f aca="false">(D155+E155)/K155</f>
        <v>914.610355072993</v>
      </c>
      <c r="M155" s="24" t="n">
        <f aca="false">M154+L155/60</f>
        <v>375.992344232202</v>
      </c>
    </row>
    <row r="156" customFormat="false" ht="15" hidden="false" customHeight="false" outlineLevel="0" collapsed="false">
      <c r="A156" s="18" t="n">
        <v>104</v>
      </c>
      <c r="B156" s="18" t="n">
        <f aca="false">MATCH(A156,$C$15:$C$23,1)</f>
        <v>8</v>
      </c>
      <c r="C156" s="27" t="n">
        <f aca="false">IF(AND(B156&gt;1,A156=INDEX($C$15:$C$23,B156)),1,0)</f>
        <v>0</v>
      </c>
      <c r="D156" s="23" t="n">
        <f aca="false">D155*INDEX($D$15:$D$23,B156)</f>
        <v>6140746054.62842</v>
      </c>
      <c r="E156" s="23" t="n">
        <f aca="false">C156*INDEX($F$15:$F$23,B156)*D156</f>
        <v>0</v>
      </c>
      <c r="F156" s="18" t="n">
        <f aca="false">B155</f>
        <v>8</v>
      </c>
      <c r="G156" s="23" t="n">
        <f aca="false">$B$5*$B$6*(1+$B$8)^(A156-1)*INDEX($G$15:$G$23,F156)</f>
        <v>2461820.89914933</v>
      </c>
      <c r="H156" s="24" t="n">
        <f aca="false">(D156+E156)/G156</f>
        <v>2494.3918774718</v>
      </c>
      <c r="I156" s="24" t="n">
        <f aca="false">I155+H156/60</f>
        <v>981.554058538369</v>
      </c>
      <c r="J156" s="3" t="str">
        <f aca="false">IF(I156&gt;=$C$33,"Later",INDEX($A$27:$A$33,MATCH(I156,$B$27:$B$33,1)))</f>
        <v>Later</v>
      </c>
      <c r="K156" s="23" t="n">
        <f aca="false">G156*$B$12</f>
        <v>6154552.24787334</v>
      </c>
      <c r="L156" s="24" t="n">
        <f aca="false">(D156+E156)/K156</f>
        <v>997.75675098872</v>
      </c>
      <c r="M156" s="24" t="n">
        <f aca="false">M155+L156/60</f>
        <v>392.621623415348</v>
      </c>
    </row>
    <row r="157" customFormat="false" ht="15" hidden="false" customHeight="false" outlineLevel="0" collapsed="false">
      <c r="A157" s="18" t="n">
        <v>105</v>
      </c>
      <c r="B157" s="18" t="n">
        <f aca="false">MATCH(A157,$C$15:$C$23,1)</f>
        <v>8</v>
      </c>
      <c r="C157" s="27" t="n">
        <f aca="false">IF(AND(B157&gt;1,A157=INDEX($C$15:$C$23,B157)),1,0)</f>
        <v>0</v>
      </c>
      <c r="D157" s="23" t="n">
        <f aca="false">D156*INDEX($D$15:$D$23,B157)</f>
        <v>7368895265.55411</v>
      </c>
      <c r="E157" s="23" t="n">
        <f aca="false">C157*INDEX($F$15:$F$23,B157)*D157</f>
        <v>0</v>
      </c>
      <c r="F157" s="18" t="n">
        <f aca="false">B156</f>
        <v>8</v>
      </c>
      <c r="G157" s="23" t="n">
        <f aca="false">$B$5*$B$6*(1+$B$8)^(A157-1)*INDEX($G$15:$G$23,F157)</f>
        <v>2708002.98906427</v>
      </c>
      <c r="H157" s="24" t="n">
        <f aca="false">(D157+E157)/G157</f>
        <v>2721.15477542378</v>
      </c>
      <c r="I157" s="24" t="n">
        <f aca="false">I156+H157/60</f>
        <v>1026.90663812877</v>
      </c>
      <c r="J157" s="3" t="str">
        <f aca="false">IF(I157&gt;=$C$33,"Later",INDEX($A$27:$A$33,MATCH(I157,$B$27:$B$33,1)))</f>
        <v>Later</v>
      </c>
      <c r="K157" s="23" t="n">
        <f aca="false">G157*$B$12</f>
        <v>6770007.47266067</v>
      </c>
      <c r="L157" s="24" t="n">
        <f aca="false">(D157+E157)/K157</f>
        <v>1088.46191016951</v>
      </c>
      <c r="M157" s="24" t="n">
        <f aca="false">M156+L157/60</f>
        <v>410.762655251506</v>
      </c>
    </row>
    <row r="158" customFormat="false" ht="15" hidden="false" customHeight="false" outlineLevel="0" collapsed="false">
      <c r="A158" s="18" t="n">
        <v>106</v>
      </c>
      <c r="B158" s="18" t="n">
        <f aca="false">MATCH(A158,$C$15:$C$23,1)</f>
        <v>8</v>
      </c>
      <c r="C158" s="27" t="n">
        <f aca="false">IF(AND(B158&gt;1,A158=INDEX($C$15:$C$23,B158)),1,0)</f>
        <v>0</v>
      </c>
      <c r="D158" s="23" t="n">
        <f aca="false">D157*INDEX($D$15:$D$23,B158)</f>
        <v>8842674318.66493</v>
      </c>
      <c r="E158" s="23" t="n">
        <f aca="false">C158*INDEX($F$15:$F$23,B158)*D158</f>
        <v>0</v>
      </c>
      <c r="F158" s="18" t="n">
        <f aca="false">B157</f>
        <v>8</v>
      </c>
      <c r="G158" s="23" t="n">
        <f aca="false">$B$5*$B$6*(1+$B$8)^(A158-1)*INDEX($G$15:$G$23,F158)</f>
        <v>2978803.2879707</v>
      </c>
      <c r="H158" s="24" t="n">
        <f aca="false">(D158+E158)/G158</f>
        <v>2968.53248228049</v>
      </c>
      <c r="I158" s="24" t="n">
        <f aca="false">I157+H158/60</f>
        <v>1076.38217950011</v>
      </c>
      <c r="J158" s="3" t="str">
        <f aca="false">IF(I158&gt;=$C$33,"Later",INDEX($A$27:$A$33,MATCH(I158,$B$27:$B$33,1)))</f>
        <v>Later</v>
      </c>
      <c r="K158" s="23" t="n">
        <f aca="false">G158*$B$12</f>
        <v>7447008.21992674</v>
      </c>
      <c r="L158" s="24" t="n">
        <f aca="false">(D158+E158)/K158</f>
        <v>1187.4129929122</v>
      </c>
      <c r="M158" s="24" t="n">
        <f aca="false">M157+L158/60</f>
        <v>430.552871800043</v>
      </c>
    </row>
    <row r="159" customFormat="false" ht="15" hidden="false" customHeight="false" outlineLevel="0" collapsed="false">
      <c r="A159" s="18" t="n">
        <v>107</v>
      </c>
      <c r="B159" s="18" t="n">
        <f aca="false">MATCH(A159,$C$15:$C$23,1)</f>
        <v>8</v>
      </c>
      <c r="C159" s="27" t="n">
        <f aca="false">IF(AND(B159&gt;1,A159=INDEX($C$15:$C$23,B159)),1,0)</f>
        <v>0</v>
      </c>
      <c r="D159" s="23" t="n">
        <f aca="false">D158*INDEX($D$15:$D$23,B159)</f>
        <v>10611209182.3979</v>
      </c>
      <c r="E159" s="23" t="n">
        <f aca="false">C159*INDEX($F$15:$F$23,B159)*D159</f>
        <v>0</v>
      </c>
      <c r="F159" s="18" t="n">
        <f aca="false">B158</f>
        <v>8</v>
      </c>
      <c r="G159" s="23" t="n">
        <f aca="false">$B$5*$B$6*(1+$B$8)^(A159-1)*INDEX($G$15:$G$23,F159)</f>
        <v>3276683.61676776</v>
      </c>
      <c r="H159" s="24" t="n">
        <f aca="false">(D159+E159)/G159</f>
        <v>3238.39907157871</v>
      </c>
      <c r="I159" s="24" t="n">
        <f aca="false">I158+H159/60</f>
        <v>1130.35549735975</v>
      </c>
      <c r="J159" s="3" t="str">
        <f aca="false">IF(I159&gt;=$C$33,"Later",INDEX($A$27:$A$33,MATCH(I159,$B$27:$B$33,1)))</f>
        <v>Later</v>
      </c>
      <c r="K159" s="23" t="n">
        <f aca="false">G159*$B$12</f>
        <v>8191709.04191941</v>
      </c>
      <c r="L159" s="24" t="n">
        <f aca="false">(D159+E159)/K159</f>
        <v>1295.35962863149</v>
      </c>
      <c r="M159" s="24" t="n">
        <f aca="false">M158+L159/60</f>
        <v>452.142198943901</v>
      </c>
    </row>
    <row r="160" customFormat="false" ht="15" hidden="false" customHeight="false" outlineLevel="0" collapsed="false">
      <c r="A160" s="18" t="n">
        <v>108</v>
      </c>
      <c r="B160" s="18" t="n">
        <f aca="false">MATCH(A160,$C$15:$C$23,1)</f>
        <v>8</v>
      </c>
      <c r="C160" s="27" t="n">
        <f aca="false">IF(AND(B160&gt;1,A160=INDEX($C$15:$C$23,B160)),1,0)</f>
        <v>0</v>
      </c>
      <c r="D160" s="23" t="n">
        <f aca="false">D159*INDEX($D$15:$D$23,B160)</f>
        <v>12733451018.8775</v>
      </c>
      <c r="E160" s="23" t="n">
        <f aca="false">C160*INDEX($F$15:$F$23,B160)*D160</f>
        <v>0</v>
      </c>
      <c r="F160" s="18" t="n">
        <f aca="false">B159</f>
        <v>8</v>
      </c>
      <c r="G160" s="23" t="n">
        <f aca="false">$B$5*$B$6*(1+$B$8)^(A160-1)*INDEX($G$15:$G$23,F160)</f>
        <v>3604351.97844454</v>
      </c>
      <c r="H160" s="24" t="n">
        <f aca="false">(D160+E160)/G160</f>
        <v>3532.79898717678</v>
      </c>
      <c r="I160" s="24" t="n">
        <f aca="false">I159+H160/60</f>
        <v>1189.23548047937</v>
      </c>
      <c r="J160" s="3" t="str">
        <f aca="false">IF(I160&gt;=$C$33,"Later",INDEX($A$27:$A$33,MATCH(I160,$B$27:$B$33,1)))</f>
        <v>Later</v>
      </c>
      <c r="K160" s="23" t="n">
        <f aca="false">G160*$B$12</f>
        <v>9010879.94611135</v>
      </c>
      <c r="L160" s="24" t="n">
        <f aca="false">(D160+E160)/K160</f>
        <v>1413.11959487071</v>
      </c>
      <c r="M160" s="24" t="n">
        <f aca="false">M159+L160/60</f>
        <v>475.694192191746</v>
      </c>
    </row>
    <row r="161" customFormat="false" ht="15" hidden="false" customHeight="false" outlineLevel="0" collapsed="false">
      <c r="A161" s="18" t="n">
        <v>109</v>
      </c>
      <c r="B161" s="18" t="n">
        <f aca="false">MATCH(A161,$C$15:$C$23,1)</f>
        <v>8</v>
      </c>
      <c r="C161" s="27" t="n">
        <f aca="false">IF(AND(B161&gt;1,A161=INDEX($C$15:$C$23,B161)),1,0)</f>
        <v>0</v>
      </c>
      <c r="D161" s="23" t="n">
        <f aca="false">D160*INDEX($D$15:$D$23,B161)</f>
        <v>15280141222.653</v>
      </c>
      <c r="E161" s="23" t="n">
        <f aca="false">C161*INDEX($F$15:$F$23,B161)*D161</f>
        <v>0</v>
      </c>
      <c r="F161" s="18" t="n">
        <f aca="false">B160</f>
        <v>8</v>
      </c>
      <c r="G161" s="23" t="n">
        <f aca="false">$B$5*$B$6*(1+$B$8)^(A161-1)*INDEX($G$15:$G$23,F161)</f>
        <v>3964787.176289</v>
      </c>
      <c r="H161" s="24" t="n">
        <f aca="false">(D161+E161)/G161</f>
        <v>3853.96253146558</v>
      </c>
      <c r="I161" s="24" t="n">
        <f aca="false">I160+H161/60</f>
        <v>1253.46818933712</v>
      </c>
      <c r="J161" s="3" t="str">
        <f aca="false">IF(I161&gt;=$C$33,"Later",INDEX($A$27:$A$33,MATCH(I161,$B$27:$B$33,1)))</f>
        <v>Later</v>
      </c>
      <c r="K161" s="23" t="n">
        <f aca="false">G161*$B$12</f>
        <v>9911967.94072249</v>
      </c>
      <c r="L161" s="24" t="n">
        <f aca="false">(D161+E161)/K161</f>
        <v>1541.58501258623</v>
      </c>
      <c r="M161" s="24" t="n">
        <f aca="false">M160+L161/60</f>
        <v>501.38727573485</v>
      </c>
    </row>
    <row r="162" customFormat="false" ht="15" hidden="false" customHeight="false" outlineLevel="0" collapsed="false">
      <c r="A162" s="18" t="n">
        <v>110</v>
      </c>
      <c r="B162" s="18" t="n">
        <f aca="false">MATCH(A162,$C$15:$C$23,1)</f>
        <v>9</v>
      </c>
      <c r="C162" s="27" t="n">
        <f aca="false">IF(AND(B162&gt;1,A162=INDEX($C$15:$C$23,B162)),1,0)</f>
        <v>1</v>
      </c>
      <c r="D162" s="23" t="n">
        <f aca="false">D161*INDEX($D$15:$D$23,B162)</f>
        <v>18336169467.1836</v>
      </c>
      <c r="E162" s="23" t="n">
        <f aca="false">C162*INDEX($F$15:$F$23,B162)*D162</f>
        <v>27504254200.7754</v>
      </c>
      <c r="F162" s="18" t="n">
        <f aca="false">B161</f>
        <v>8</v>
      </c>
      <c r="G162" s="23" t="n">
        <f aca="false">$B$5*$B$6*(1+$B$8)^(A162-1)*INDEX($G$15:$G$23,F162)</f>
        <v>4361265.8939179</v>
      </c>
      <c r="H162" s="24" t="n">
        <f aca="false">(D162+E162)/G162</f>
        <v>10510.806903997</v>
      </c>
      <c r="I162" s="24" t="n">
        <f aca="false">I161+H162/60</f>
        <v>1428.64830440374</v>
      </c>
      <c r="J162" s="3" t="str">
        <f aca="false">IF(I162&gt;=$C$33,"Later",INDEX($A$27:$A$33,MATCH(I162,$B$27:$B$33,1)))</f>
        <v>Later</v>
      </c>
      <c r="K162" s="23" t="n">
        <f aca="false">G162*$B$12</f>
        <v>10903164.7347947</v>
      </c>
      <c r="L162" s="24" t="n">
        <f aca="false">(D162+E162)/K162</f>
        <v>4204.32276159881</v>
      </c>
      <c r="M162" s="24" t="n">
        <f aca="false">M161+L162/60</f>
        <v>571.459321761497</v>
      </c>
    </row>
    <row r="163" customFormat="false" ht="15" hidden="false" customHeight="false" outlineLevel="0" collapsed="false">
      <c r="A163" s="18" t="n">
        <v>111</v>
      </c>
      <c r="B163" s="18" t="n">
        <f aca="false">MATCH(A163,$C$15:$C$23,1)</f>
        <v>9</v>
      </c>
      <c r="C163" s="27" t="n">
        <f aca="false">IF(AND(B163&gt;1,A163=INDEX($C$15:$C$23,B163)),1,0)</f>
        <v>0</v>
      </c>
      <c r="D163" s="23" t="n">
        <f aca="false">D162*INDEX($D$15:$D$23,B163)</f>
        <v>22003403360.6203</v>
      </c>
      <c r="E163" s="23" t="n">
        <f aca="false">C163*INDEX($F$15:$F$23,B163)*D163</f>
        <v>0</v>
      </c>
      <c r="F163" s="18" t="n">
        <f aca="false">B162</f>
        <v>9</v>
      </c>
      <c r="G163" s="23" t="n">
        <f aca="false">$B$5*$B$6*(1+$B$8)^(A163-1)*INDEX($G$15:$G$23,F163)</f>
        <v>7675827.9732955</v>
      </c>
      <c r="H163" s="24" t="n">
        <f aca="false">(D163+E163)/G163</f>
        <v>2866.5837010901</v>
      </c>
      <c r="I163" s="24" t="n">
        <f aca="false">I162+H163/60</f>
        <v>1476.42469942191</v>
      </c>
      <c r="J163" s="3" t="str">
        <f aca="false">IF(I163&gt;=$C$33,"Later",INDEX($A$27:$A$33,MATCH(I163,$B$27:$B$33,1)))</f>
        <v>Later</v>
      </c>
      <c r="K163" s="23" t="n">
        <f aca="false">G163*$B$12</f>
        <v>19189569.9332387</v>
      </c>
      <c r="L163" s="24" t="n">
        <f aca="false">(D163+E163)/K163</f>
        <v>1146.63348043604</v>
      </c>
      <c r="M163" s="24" t="n">
        <f aca="false">M162+L163/60</f>
        <v>590.569879768764</v>
      </c>
    </row>
    <row r="164" customFormat="false" ht="15" hidden="false" customHeight="false" outlineLevel="0" collapsed="false">
      <c r="A164" s="18" t="n">
        <v>112</v>
      </c>
      <c r="B164" s="18" t="n">
        <f aca="false">MATCH(A164,$C$15:$C$23,1)</f>
        <v>9</v>
      </c>
      <c r="C164" s="27" t="n">
        <f aca="false">IF(AND(B164&gt;1,A164=INDEX($C$15:$C$23,B164)),1,0)</f>
        <v>0</v>
      </c>
      <c r="D164" s="23" t="n">
        <f aca="false">D163*INDEX($D$15:$D$23,B164)</f>
        <v>26404084032.7444</v>
      </c>
      <c r="E164" s="23" t="n">
        <f aca="false">C164*INDEX($F$15:$F$23,B164)*D164</f>
        <v>0</v>
      </c>
      <c r="F164" s="18" t="n">
        <f aca="false">B163</f>
        <v>9</v>
      </c>
      <c r="G164" s="23" t="n">
        <f aca="false">$B$5*$B$6*(1+$B$8)^(A164-1)*INDEX($G$15:$G$23,F164)</f>
        <v>8443410.77062505</v>
      </c>
      <c r="H164" s="24" t="n">
        <f aca="false">(D164+E164)/G164</f>
        <v>3127.18221937102</v>
      </c>
      <c r="I164" s="24" t="n">
        <f aca="false">I163+H164/60</f>
        <v>1528.54440307809</v>
      </c>
      <c r="J164" s="3" t="str">
        <f aca="false">IF(I164&gt;=$C$33,"Later",INDEX($A$27:$A$33,MATCH(I164,$B$27:$B$33,1)))</f>
        <v>Later</v>
      </c>
      <c r="K164" s="23" t="n">
        <f aca="false">G164*$B$12</f>
        <v>21108526.9265626</v>
      </c>
      <c r="L164" s="24" t="n">
        <f aca="false">(D164+E164)/K164</f>
        <v>1250.87288774841</v>
      </c>
      <c r="M164" s="24" t="n">
        <f aca="false">M163+L164/60</f>
        <v>611.417761231237</v>
      </c>
    </row>
    <row r="165" customFormat="false" ht="15" hidden="false" customHeight="false" outlineLevel="0" collapsed="false">
      <c r="A165" s="18" t="n">
        <v>113</v>
      </c>
      <c r="B165" s="18" t="n">
        <f aca="false">MATCH(A165,$C$15:$C$23,1)</f>
        <v>9</v>
      </c>
      <c r="C165" s="27" t="n">
        <f aca="false">IF(AND(B165&gt;1,A165=INDEX($C$15:$C$23,B165)),1,0)</f>
        <v>0</v>
      </c>
      <c r="D165" s="23" t="n">
        <f aca="false">D164*INDEX($D$15:$D$23,B165)</f>
        <v>31684900839.2932</v>
      </c>
      <c r="E165" s="23" t="n">
        <f aca="false">C165*INDEX($F$15:$F$23,B165)*D165</f>
        <v>0</v>
      </c>
      <c r="F165" s="18" t="n">
        <f aca="false">B164</f>
        <v>9</v>
      </c>
      <c r="G165" s="23" t="n">
        <f aca="false">$B$5*$B$6*(1+$B$8)^(A165-1)*INDEX($G$15:$G$23,F165)</f>
        <v>9287751.84768755</v>
      </c>
      <c r="H165" s="24" t="n">
        <f aca="false">(D165+E165)/G165</f>
        <v>3411.47151204111</v>
      </c>
      <c r="I165" s="24" t="n">
        <f aca="false">I164+H165/60</f>
        <v>1585.40226161211</v>
      </c>
      <c r="J165" s="3" t="str">
        <f aca="false">IF(I165&gt;=$C$33,"Later",INDEX($A$27:$A$33,MATCH(I165,$B$27:$B$33,1)))</f>
        <v>Later</v>
      </c>
      <c r="K165" s="23" t="n">
        <f aca="false">G165*$B$12</f>
        <v>23219379.6192189</v>
      </c>
      <c r="L165" s="24" t="n">
        <f aca="false">(D165+E165)/K165</f>
        <v>1364.58860481644</v>
      </c>
      <c r="M165" s="24" t="n">
        <f aca="false">M164+L165/60</f>
        <v>634.160904644845</v>
      </c>
    </row>
    <row r="166" customFormat="false" ht="15" hidden="false" customHeight="false" outlineLevel="0" collapsed="false">
      <c r="A166" s="18" t="n">
        <v>114</v>
      </c>
      <c r="B166" s="18" t="n">
        <f aca="false">MATCH(A166,$C$15:$C$23,1)</f>
        <v>9</v>
      </c>
      <c r="C166" s="27" t="n">
        <f aca="false">IF(AND(B166&gt;1,A166=INDEX($C$15:$C$23,B166)),1,0)</f>
        <v>0</v>
      </c>
      <c r="D166" s="23" t="n">
        <f aca="false">D165*INDEX($D$15:$D$23,B166)</f>
        <v>38021881007.1519</v>
      </c>
      <c r="E166" s="23" t="n">
        <f aca="false">C166*INDEX($F$15:$F$23,B166)*D166</f>
        <v>0</v>
      </c>
      <c r="F166" s="18" t="n">
        <f aca="false">B165</f>
        <v>9</v>
      </c>
      <c r="G166" s="23" t="n">
        <f aca="false">$B$5*$B$6*(1+$B$8)^(A166-1)*INDEX($G$15:$G$23,F166)</f>
        <v>10216527.0324563</v>
      </c>
      <c r="H166" s="24" t="n">
        <f aca="false">(D166+E166)/G166</f>
        <v>3721.60528586302</v>
      </c>
      <c r="I166" s="24" t="n">
        <f aca="false">I165+H166/60</f>
        <v>1647.4290163765</v>
      </c>
      <c r="J166" s="3" t="str">
        <f aca="false">IF(I166&gt;=$C$33,"Later",INDEX($A$27:$A$33,MATCH(I166,$B$27:$B$33,1)))</f>
        <v>Later</v>
      </c>
      <c r="K166" s="23" t="n">
        <f aca="false">G166*$B$12</f>
        <v>25541317.5811408</v>
      </c>
      <c r="L166" s="24" t="n">
        <f aca="false">(D166+E166)/K166</f>
        <v>1488.64211434521</v>
      </c>
      <c r="M166" s="24" t="n">
        <f aca="false">M165+L166/60</f>
        <v>658.971606550598</v>
      </c>
    </row>
    <row r="167" customFormat="false" ht="15" hidden="false" customHeight="false" outlineLevel="0" collapsed="false">
      <c r="A167" s="18" t="n">
        <v>115</v>
      </c>
      <c r="B167" s="18" t="n">
        <f aca="false">MATCH(A167,$C$15:$C$23,1)</f>
        <v>9</v>
      </c>
      <c r="C167" s="27" t="n">
        <f aca="false">IF(AND(B167&gt;1,A167=INDEX($C$15:$C$23,B167)),1,0)</f>
        <v>0</v>
      </c>
      <c r="D167" s="23" t="n">
        <f aca="false">D166*INDEX($D$15:$D$23,B167)</f>
        <v>45626257208.5823</v>
      </c>
      <c r="E167" s="23" t="n">
        <f aca="false">C167*INDEX($F$15:$F$23,B167)*D167</f>
        <v>0</v>
      </c>
      <c r="F167" s="18" t="n">
        <f aca="false">B166</f>
        <v>9</v>
      </c>
      <c r="G167" s="23" t="n">
        <f aca="false">$B$5*$B$6*(1+$B$8)^(A167-1)*INDEX($G$15:$G$23,F167)</f>
        <v>11238179.7357019</v>
      </c>
      <c r="H167" s="24" t="n">
        <f aca="false">(D167+E167)/G167</f>
        <v>4059.9330391233</v>
      </c>
      <c r="I167" s="24" t="n">
        <f aca="false">I166+H167/60</f>
        <v>1715.09456702855</v>
      </c>
      <c r="J167" s="3" t="str">
        <f aca="false">IF(I167&gt;=$C$33,"Later",INDEX($A$27:$A$33,MATCH(I167,$B$27:$B$33,1)))</f>
        <v>Later</v>
      </c>
      <c r="K167" s="23" t="n">
        <f aca="false">G167*$B$12</f>
        <v>28095449.3392549</v>
      </c>
      <c r="L167" s="24" t="n">
        <f aca="false">(D167+E167)/K167</f>
        <v>1623.97321564932</v>
      </c>
      <c r="M167" s="24" t="n">
        <f aca="false">M166+L167/60</f>
        <v>686.03782681142</v>
      </c>
    </row>
    <row r="168" customFormat="false" ht="15" hidden="false" customHeight="false" outlineLevel="0" collapsed="false">
      <c r="A168" s="18" t="n">
        <v>116</v>
      </c>
      <c r="B168" s="18" t="n">
        <f aca="false">MATCH(A168,$C$15:$C$23,1)</f>
        <v>9</v>
      </c>
      <c r="C168" s="27" t="n">
        <f aca="false">IF(AND(B168&gt;1,A168=INDEX($C$15:$C$23,B168)),1,0)</f>
        <v>0</v>
      </c>
      <c r="D168" s="23" t="n">
        <f aca="false">D167*INDEX($D$15:$D$23,B168)</f>
        <v>54751508650.2987</v>
      </c>
      <c r="E168" s="23" t="n">
        <f aca="false">C168*INDEX($F$15:$F$23,B168)*D168</f>
        <v>0</v>
      </c>
      <c r="F168" s="18" t="n">
        <f aca="false">B167</f>
        <v>9</v>
      </c>
      <c r="G168" s="23" t="n">
        <f aca="false">$B$5*$B$6*(1+$B$8)^(A168-1)*INDEX($G$15:$G$23,F168)</f>
        <v>12361997.7092721</v>
      </c>
      <c r="H168" s="24" t="n">
        <f aca="false">(D168+E168)/G168</f>
        <v>4429.01786086178</v>
      </c>
      <c r="I168" s="24" t="n">
        <f aca="false">I167+H168/60</f>
        <v>1788.91153137625</v>
      </c>
      <c r="J168" s="3" t="str">
        <f aca="false">IF(I168&gt;=$C$33,"Later",INDEX($A$27:$A$33,MATCH(I168,$B$27:$B$33,1)))</f>
        <v>Later</v>
      </c>
      <c r="K168" s="23" t="n">
        <f aca="false">G168*$B$12</f>
        <v>30904994.2731803</v>
      </c>
      <c r="L168" s="24" t="n">
        <f aca="false">(D168+E168)/K168</f>
        <v>1771.60714434471</v>
      </c>
      <c r="M168" s="24" t="n">
        <f aca="false">M167+L168/60</f>
        <v>715.564612550499</v>
      </c>
    </row>
    <row r="169" customFormat="false" ht="15" hidden="false" customHeight="false" outlineLevel="0" collapsed="false">
      <c r="A169" s="18" t="n">
        <v>117</v>
      </c>
      <c r="B169" s="18" t="n">
        <f aca="false">MATCH(A169,$C$15:$C$23,1)</f>
        <v>9</v>
      </c>
      <c r="C169" s="27" t="n">
        <f aca="false">IF(AND(B169&gt;1,A169=INDEX($C$15:$C$23,B169)),1,0)</f>
        <v>0</v>
      </c>
      <c r="D169" s="23" t="n">
        <f aca="false">D168*INDEX($D$15:$D$23,B169)</f>
        <v>65701810380.3584</v>
      </c>
      <c r="E169" s="23" t="n">
        <f aca="false">C169*INDEX($F$15:$F$23,B169)*D169</f>
        <v>0</v>
      </c>
      <c r="F169" s="18" t="n">
        <f aca="false">B168</f>
        <v>9</v>
      </c>
      <c r="G169" s="23" t="n">
        <f aca="false">$B$5*$B$6*(1+$B$8)^(A169-1)*INDEX($G$15:$G$23,F169)</f>
        <v>13598197.4801994</v>
      </c>
      <c r="H169" s="24" t="n">
        <f aca="false">(D169+E169)/G169</f>
        <v>4831.65584821285</v>
      </c>
      <c r="I169" s="24" t="n">
        <f aca="false">I168+H169/60</f>
        <v>1869.43912884646</v>
      </c>
      <c r="J169" s="3" t="str">
        <f aca="false">IF(I169&gt;=$C$33,"Later",INDEX($A$27:$A$33,MATCH(I169,$B$27:$B$33,1)))</f>
        <v>Later</v>
      </c>
      <c r="K169" s="23" t="n">
        <f aca="false">G169*$B$12</f>
        <v>33995493.7004984</v>
      </c>
      <c r="L169" s="24" t="n">
        <f aca="false">(D169+E169)/K169</f>
        <v>1932.66233928514</v>
      </c>
      <c r="M169" s="24" t="n">
        <f aca="false">M168+L169/60</f>
        <v>747.775651538584</v>
      </c>
    </row>
    <row r="170" customFormat="false" ht="15" hidden="false" customHeight="false" outlineLevel="0" collapsed="false">
      <c r="A170" s="18" t="n">
        <v>118</v>
      </c>
      <c r="B170" s="18" t="n">
        <f aca="false">MATCH(A170,$C$15:$C$23,1)</f>
        <v>9</v>
      </c>
      <c r="C170" s="27" t="n">
        <f aca="false">IF(AND(B170&gt;1,A170=INDEX($C$15:$C$23,B170)),1,0)</f>
        <v>0</v>
      </c>
      <c r="D170" s="23" t="n">
        <f aca="false">D169*INDEX($D$15:$D$23,B170)</f>
        <v>78842172456.4301</v>
      </c>
      <c r="E170" s="23" t="n">
        <f aca="false">C170*INDEX($F$15:$F$23,B170)*D170</f>
        <v>0</v>
      </c>
      <c r="F170" s="18" t="n">
        <f aca="false">B169</f>
        <v>9</v>
      </c>
      <c r="G170" s="23" t="n">
        <f aca="false">$B$5*$B$6*(1+$B$8)^(A170-1)*INDEX($G$15:$G$23,F170)</f>
        <v>14958017.2282193</v>
      </c>
      <c r="H170" s="24" t="n">
        <f aca="false">(D170+E170)/G170</f>
        <v>5270.89728895947</v>
      </c>
      <c r="I170" s="24" t="n">
        <f aca="false">I169+H170/60</f>
        <v>1957.28741699579</v>
      </c>
      <c r="J170" s="3" t="str">
        <f aca="false">IF(I170&gt;=$C$33,"Later",INDEX($A$27:$A$33,MATCH(I170,$B$27:$B$33,1)))</f>
        <v>Later</v>
      </c>
      <c r="K170" s="23" t="n">
        <f aca="false">G170*$B$12</f>
        <v>37395043.0705482</v>
      </c>
      <c r="L170" s="24" t="n">
        <f aca="false">(D170+E170)/K170</f>
        <v>2108.35891558379</v>
      </c>
      <c r="M170" s="24" t="n">
        <f aca="false">M169+L170/60</f>
        <v>782.914966798314</v>
      </c>
    </row>
    <row r="171" customFormat="false" ht="15" hidden="false" customHeight="false" outlineLevel="0" collapsed="false">
      <c r="A171" s="18" t="n">
        <v>119</v>
      </c>
      <c r="B171" s="18" t="n">
        <f aca="false">MATCH(A171,$C$15:$C$23,1)</f>
        <v>9</v>
      </c>
      <c r="C171" s="27" t="n">
        <f aca="false">IF(AND(B171&gt;1,A171=INDEX($C$15:$C$23,B171)),1,0)</f>
        <v>0</v>
      </c>
      <c r="D171" s="23" t="n">
        <f aca="false">D170*INDEX($D$15:$D$23,B171)</f>
        <v>94610606947.7161</v>
      </c>
      <c r="E171" s="23" t="n">
        <f aca="false">C171*INDEX($F$15:$F$23,B171)*D171</f>
        <v>0</v>
      </c>
      <c r="F171" s="18" t="n">
        <f aca="false">B170</f>
        <v>9</v>
      </c>
      <c r="G171" s="23" t="n">
        <f aca="false">$B$5*$B$6*(1+$B$8)^(A171-1)*INDEX($G$15:$G$23,F171)</f>
        <v>16453818.9510412</v>
      </c>
      <c r="H171" s="24" t="n">
        <f aca="false">(D171+E171)/G171</f>
        <v>5750.06976977397</v>
      </c>
      <c r="I171" s="24" t="n">
        <f aca="false">I170+H171/60</f>
        <v>2053.12191315869</v>
      </c>
      <c r="J171" s="3" t="str">
        <f aca="false">IF(I171&gt;=$C$33,"Later",INDEX($A$27:$A$33,MATCH(I171,$B$27:$B$33,1)))</f>
        <v>Later</v>
      </c>
      <c r="K171" s="23" t="n">
        <f aca="false">G171*$B$12</f>
        <v>41134547.3776031</v>
      </c>
      <c r="L171" s="24" t="n">
        <f aca="false">(D171+E171)/K171</f>
        <v>2300.02790790959</v>
      </c>
      <c r="M171" s="24" t="n">
        <f aca="false">M170+L171/60</f>
        <v>821.248765263474</v>
      </c>
    </row>
    <row r="172" customFormat="false" ht="15" hidden="false" customHeight="false" outlineLevel="0" collapsed="false">
      <c r="A172" s="18" t="n">
        <v>120</v>
      </c>
      <c r="B172" s="18" t="n">
        <f aca="false">MATCH(A172,$C$15:$C$23,1)</f>
        <v>9</v>
      </c>
      <c r="C172" s="27" t="n">
        <f aca="false">IF(AND(B172&gt;1,A172=INDEX($C$15:$C$23,B172)),1,0)</f>
        <v>0</v>
      </c>
      <c r="D172" s="23" t="n">
        <f aca="false">D171*INDEX($D$15:$D$23,B172)</f>
        <v>113532728337.259</v>
      </c>
      <c r="E172" s="23" t="n">
        <f aca="false">C172*INDEX($F$15:$F$23,B172)*D172</f>
        <v>0</v>
      </c>
      <c r="F172" s="18" t="n">
        <f aca="false">B171</f>
        <v>9</v>
      </c>
      <c r="G172" s="23" t="n">
        <f aca="false">$B$5*$B$6*(1+$B$8)^(A172-1)*INDEX($G$15:$G$23,F172)</f>
        <v>18099200.8461453</v>
      </c>
      <c r="H172" s="24" t="n">
        <f aca="false">(D172+E172)/G172</f>
        <v>6272.80338520797</v>
      </c>
      <c r="I172" s="24" t="n">
        <f aca="false">I171+H172/60</f>
        <v>2157.66863624549</v>
      </c>
      <c r="J172" s="3" t="str">
        <f aca="false">IF(I172&gt;=$C$33,"Later",INDEX($A$27:$A$33,MATCH(I172,$B$27:$B$33,1)))</f>
        <v>Later</v>
      </c>
      <c r="K172" s="23" t="n">
        <f aca="false">G172*$B$12</f>
        <v>45248002.1153634</v>
      </c>
      <c r="L172" s="24" t="n">
        <f aca="false">(D172+E172)/K172</f>
        <v>2509.12135408319</v>
      </c>
      <c r="M172" s="24" t="n">
        <f aca="false">M171+L172/60</f>
        <v>863.067454498194</v>
      </c>
    </row>
  </sheetData>
  <conditionalFormatting sqref="G27:G33">
    <cfRule type="expression" priority="2" aboveAverage="0" equalAverage="0" bottom="0" percent="0" rank="0" text="" dxfId="0">
      <formula>LEFT(G27,2)="OK"</formula>
    </cfRule>
    <cfRule type="expression" priority="3" aboveAverage="0" equalAverage="0" bottom="0" percent="0" rank="0" text="" dxfId="1">
      <formula>AND(G27&lt;&gt;"",LEFT(G27,2)&lt;&gt;"OK")</formula>
    </cfRule>
  </conditionalFormatting>
  <dataValidations count="1">
    <dataValidation allowBlank="false" errorStyle="stop" operator="between" showDropDown="false" showErrorMessage="false" showInputMessage="false" sqref="B9:B10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4" t="s">
        <v>128</v>
      </c>
    </row>
    <row r="2" customFormat="false" ht="15" hidden="false" customHeight="false" outlineLevel="0" collapsed="false">
      <c r="A2" s="5" t="s">
        <v>129</v>
      </c>
    </row>
    <row r="4" customFormat="false" ht="15" hidden="false" customHeight="false" outlineLevel="0" collapsed="false">
      <c r="A4" s="2" t="s">
        <v>130</v>
      </c>
    </row>
    <row r="5" customFormat="false" ht="15" hidden="false" customHeight="false" outlineLevel="0" collapsed="false">
      <c r="A5" s="3" t="s">
        <v>131</v>
      </c>
      <c r="B5" s="10" t="n">
        <v>50</v>
      </c>
    </row>
    <row r="6" customFormat="false" ht="15" hidden="false" customHeight="false" outlineLevel="0" collapsed="false">
      <c r="A6" s="3" t="s">
        <v>132</v>
      </c>
      <c r="B6" s="10" t="n">
        <v>75</v>
      </c>
    </row>
    <row r="7" customFormat="false" ht="15" hidden="false" customHeight="false" outlineLevel="0" collapsed="false">
      <c r="A7" s="3" t="s">
        <v>133</v>
      </c>
      <c r="B7" s="10" t="n">
        <v>40</v>
      </c>
    </row>
    <row r="8" customFormat="false" ht="15" hidden="false" customHeight="false" outlineLevel="0" collapsed="false">
      <c r="A8" s="3" t="s">
        <v>134</v>
      </c>
      <c r="B8" s="10" t="n">
        <v>25</v>
      </c>
    </row>
    <row r="9" customFormat="false" ht="15" hidden="false" customHeight="false" outlineLevel="0" collapsed="false">
      <c r="A9" s="3" t="s">
        <v>135</v>
      </c>
      <c r="B9" s="10" t="n">
        <v>150</v>
      </c>
    </row>
    <row r="10" customFormat="false" ht="15" hidden="false" customHeight="false" outlineLevel="0" collapsed="false">
      <c r="A10" s="3" t="s">
        <v>136</v>
      </c>
      <c r="B10" s="10" t="n">
        <v>120</v>
      </c>
      <c r="C10" s="5" t="s">
        <v>137</v>
      </c>
    </row>
    <row r="11" customFormat="false" ht="15" hidden="false" customHeight="false" outlineLevel="0" collapsed="false">
      <c r="A11" s="3" t="s">
        <v>138</v>
      </c>
      <c r="B11" s="18" t="n">
        <f aca="false">SUM(B5:B8)+MIN(B9,B10)</f>
        <v>310</v>
      </c>
    </row>
    <row r="12" customFormat="false" ht="15" hidden="false" customHeight="false" outlineLevel="0" collapsed="false">
      <c r="A12" s="3" t="s">
        <v>139</v>
      </c>
      <c r="B12" s="26" t="n">
        <f aca="false">Inputs!$B$8</f>
        <v>100</v>
      </c>
    </row>
    <row r="13" customFormat="false" ht="15" hidden="false" customHeight="false" outlineLevel="0" collapsed="false">
      <c r="A13" s="3" t="s">
        <v>140</v>
      </c>
      <c r="B13" s="24" t="n">
        <f aca="false">B11/B12</f>
        <v>3.1</v>
      </c>
    </row>
    <row r="14" customFormat="false" ht="15" hidden="false" customHeight="false" outlineLevel="0" collapsed="false">
      <c r="A14" s="3" t="s">
        <v>141</v>
      </c>
      <c r="B14" s="26" t="n">
        <f aca="false">Inputs!$B$9</f>
        <v>60</v>
      </c>
    </row>
    <row r="15" customFormat="false" ht="15" hidden="false" customHeight="false" outlineLevel="0" collapsed="false">
      <c r="A15" s="16" t="s">
        <v>142</v>
      </c>
      <c r="B15" s="24" t="n">
        <f aca="false">B14*B12/B11</f>
        <v>19.3548387096774</v>
      </c>
    </row>
    <row r="16" customFormat="false" ht="15" hidden="false" customHeight="false" outlineLevel="0" collapsed="false">
      <c r="A16" s="3" t="s">
        <v>143</v>
      </c>
      <c r="B16" s="26" t="n">
        <f aca="false">Inputs!$B$10</f>
        <v>21</v>
      </c>
    </row>
    <row r="17" customFormat="false" ht="15" hidden="false" customHeight="false" outlineLevel="0" collapsed="false">
      <c r="A17" s="3" t="s">
        <v>144</v>
      </c>
      <c r="B17" s="24" t="n">
        <f aca="false">B11*B16/B12</f>
        <v>65.1</v>
      </c>
    </row>
    <row r="18" customFormat="false" ht="15" hidden="false" customHeight="false" outlineLevel="0" collapsed="false">
      <c r="A18" s="16" t="s">
        <v>145</v>
      </c>
      <c r="B18" s="3" t="str">
        <f aca="false">IF(B15&lt;=B16,"OK: free players reach pity within one comeback","Too slow: free players miss pity this comeback")</f>
        <v>OK: free players reach pity within one comeback</v>
      </c>
    </row>
    <row r="20" customFormat="false" ht="15" hidden="false" customHeight="false" outlineLevel="0" collapsed="false">
      <c r="A20" s="2" t="s">
        <v>146</v>
      </c>
    </row>
    <row r="21" customFormat="false" ht="15" hidden="false" customHeight="false" outlineLevel="0" collapsed="false">
      <c r="A21" s="3" t="s">
        <v>147</v>
      </c>
      <c r="B21" s="21" t="n">
        <v>2</v>
      </c>
    </row>
    <row r="23" customFormat="false" ht="30" hidden="false" customHeight="true" outlineLevel="0" collapsed="false">
      <c r="A23" s="6" t="s">
        <v>148</v>
      </c>
      <c r="B23" s="6" t="s">
        <v>149</v>
      </c>
      <c r="C23" s="6" t="s">
        <v>150</v>
      </c>
      <c r="D23" s="6" t="s">
        <v>151</v>
      </c>
      <c r="E23" s="6" t="s">
        <v>152</v>
      </c>
      <c r="F23" s="6" t="s">
        <v>153</v>
      </c>
      <c r="G23" s="6" t="s">
        <v>154</v>
      </c>
      <c r="H23" s="6" t="s">
        <v>155</v>
      </c>
    </row>
    <row r="24" customFormat="false" ht="15" hidden="false" customHeight="false" outlineLevel="0" collapsed="false">
      <c r="A24" s="19" t="s">
        <v>156</v>
      </c>
      <c r="B24" s="10" t="n">
        <v>99</v>
      </c>
      <c r="C24" s="28" t="n">
        <v>0</v>
      </c>
      <c r="D24" s="18" t="n">
        <f aca="false">ROUND(B24*$B$21*(1+C24),-1)</f>
        <v>200</v>
      </c>
      <c r="E24" s="29" t="n">
        <f aca="false">D24/B24</f>
        <v>2.02020202020202</v>
      </c>
      <c r="F24" s="30" t="n">
        <f aca="false">Inputs!$B$8/E24</f>
        <v>49.5</v>
      </c>
      <c r="G24" s="31" t="n">
        <f aca="false">B24*Inputs!$B$7</f>
        <v>1.2375</v>
      </c>
      <c r="H24" s="18" t="n">
        <f aca="false">D24*2</f>
        <v>400</v>
      </c>
    </row>
    <row r="25" customFormat="false" ht="15" hidden="false" customHeight="false" outlineLevel="0" collapsed="false">
      <c r="A25" s="19" t="s">
        <v>157</v>
      </c>
      <c r="B25" s="10" t="n">
        <v>249</v>
      </c>
      <c r="C25" s="28" t="n">
        <v>0.1</v>
      </c>
      <c r="D25" s="18" t="n">
        <f aca="false">ROUND(B25*$B$21*(1+C25),-1)</f>
        <v>550</v>
      </c>
      <c r="E25" s="29" t="n">
        <f aca="false">D25/B25</f>
        <v>2.20883534136546</v>
      </c>
      <c r="F25" s="30" t="n">
        <f aca="false">Inputs!$B$8/E25</f>
        <v>45.2727272727273</v>
      </c>
      <c r="G25" s="31" t="n">
        <f aca="false">B25*Inputs!$B$7</f>
        <v>3.1125</v>
      </c>
      <c r="H25" s="18" t="n">
        <f aca="false">D25*2</f>
        <v>1100</v>
      </c>
    </row>
    <row r="26" customFormat="false" ht="15" hidden="false" customHeight="false" outlineLevel="0" collapsed="false">
      <c r="A26" s="19" t="s">
        <v>158</v>
      </c>
      <c r="B26" s="10" t="n">
        <v>499</v>
      </c>
      <c r="C26" s="28" t="n">
        <v>0.15</v>
      </c>
      <c r="D26" s="18" t="n">
        <f aca="false">ROUND(B26*$B$21*(1+C26),-1)</f>
        <v>1150</v>
      </c>
      <c r="E26" s="29" t="n">
        <f aca="false">D26/B26</f>
        <v>2.30460921843687</v>
      </c>
      <c r="F26" s="30" t="n">
        <f aca="false">Inputs!$B$8/E26</f>
        <v>43.3913043478261</v>
      </c>
      <c r="G26" s="31" t="n">
        <f aca="false">B26*Inputs!$B$7</f>
        <v>6.2375</v>
      </c>
      <c r="H26" s="18" t="n">
        <f aca="false">D26*2</f>
        <v>2300</v>
      </c>
    </row>
    <row r="27" customFormat="false" ht="15" hidden="false" customHeight="false" outlineLevel="0" collapsed="false">
      <c r="A27" s="19" t="s">
        <v>159</v>
      </c>
      <c r="B27" s="10" t="n">
        <v>999</v>
      </c>
      <c r="C27" s="28" t="n">
        <v>0.2</v>
      </c>
      <c r="D27" s="18" t="n">
        <f aca="false">ROUND(B27*$B$21*(1+C27),-1)</f>
        <v>2400</v>
      </c>
      <c r="E27" s="29" t="n">
        <f aca="false">D27/B27</f>
        <v>2.4024024024024</v>
      </c>
      <c r="F27" s="30" t="n">
        <f aca="false">Inputs!$B$8/E27</f>
        <v>41.625</v>
      </c>
      <c r="G27" s="31" t="n">
        <f aca="false">B27*Inputs!$B$7</f>
        <v>12.4875</v>
      </c>
      <c r="H27" s="18" t="n">
        <f aca="false">D27*2</f>
        <v>4800</v>
      </c>
    </row>
    <row r="28" customFormat="false" ht="15" hidden="false" customHeight="false" outlineLevel="0" collapsed="false">
      <c r="A28" s="19" t="s">
        <v>160</v>
      </c>
      <c r="B28" s="10" t="n">
        <v>2499</v>
      </c>
      <c r="C28" s="28" t="n">
        <v>0.25</v>
      </c>
      <c r="D28" s="18" t="n">
        <f aca="false">ROUND(B28*$B$21*(1+C28),-1)</f>
        <v>6250</v>
      </c>
      <c r="E28" s="29" t="n">
        <f aca="false">D28/B28</f>
        <v>2.50100040016006</v>
      </c>
      <c r="F28" s="30" t="n">
        <f aca="false">Inputs!$B$8/E28</f>
        <v>39.984</v>
      </c>
      <c r="G28" s="31" t="n">
        <f aca="false">B28*Inputs!$B$7</f>
        <v>31.2375</v>
      </c>
      <c r="H28" s="18" t="n">
        <f aca="false">D28*2</f>
        <v>12500</v>
      </c>
    </row>
    <row r="29" customFormat="false" ht="15" hidden="false" customHeight="false" outlineLevel="0" collapsed="false">
      <c r="A29" s="19" t="s">
        <v>161</v>
      </c>
      <c r="B29" s="10" t="n">
        <v>4999</v>
      </c>
      <c r="C29" s="28" t="n">
        <v>0.3</v>
      </c>
      <c r="D29" s="18" t="n">
        <f aca="false">ROUND(B29*$B$21*(1+C29),-1)</f>
        <v>13000</v>
      </c>
      <c r="E29" s="29" t="n">
        <f aca="false">D29/B29</f>
        <v>2.6005201040208</v>
      </c>
      <c r="F29" s="30" t="n">
        <f aca="false">Inputs!$B$8/E29</f>
        <v>38.4538461538462</v>
      </c>
      <c r="G29" s="31" t="n">
        <f aca="false">B29*Inputs!$B$7</f>
        <v>62.4875</v>
      </c>
      <c r="H29" s="18" t="n">
        <f aca="false">D29*2</f>
        <v>26000</v>
      </c>
    </row>
    <row r="31" customFormat="false" ht="15" hidden="false" customHeight="false" outlineLevel="0" collapsed="false">
      <c r="A31" s="3" t="s">
        <v>162</v>
      </c>
      <c r="B31" s="19" t="s">
        <v>159</v>
      </c>
    </row>
    <row r="32" customFormat="false" ht="15" hidden="false" customHeight="false" outlineLevel="0" collapsed="false">
      <c r="A32" s="3" t="s">
        <v>163</v>
      </c>
      <c r="B32" s="29" t="n">
        <f aca="false">INDEX($E$24:$E$29,MATCH(B31,$A$24:$A$29,0))</f>
        <v>2.4024024024024</v>
      </c>
    </row>
    <row r="34" customFormat="false" ht="15" hidden="false" customHeight="false" outlineLevel="0" collapsed="false">
      <c r="A34" s="2" t="s">
        <v>164</v>
      </c>
    </row>
    <row r="35" customFormat="false" ht="30" hidden="false" customHeight="true" outlineLevel="0" collapsed="false">
      <c r="A35" s="6" t="s">
        <v>165</v>
      </c>
      <c r="B35" s="6" t="s">
        <v>166</v>
      </c>
      <c r="C35" s="6" t="s">
        <v>167</v>
      </c>
      <c r="D35" s="6" t="s">
        <v>168</v>
      </c>
      <c r="E35" s="6" t="s">
        <v>154</v>
      </c>
    </row>
    <row r="36" customFormat="false" ht="15" hidden="false" customHeight="false" outlineLevel="0" collapsed="false">
      <c r="A36" s="10" t="n">
        <v>1</v>
      </c>
      <c r="B36" s="18" t="n">
        <f aca="false">MIN(A36*$B$11,$B$14*$B$12)</f>
        <v>310</v>
      </c>
      <c r="C36" s="18" t="n">
        <f aca="false">MAX(0,$B$14*$B$12-B36)</f>
        <v>5690</v>
      </c>
      <c r="D36" s="18" t="n">
        <f aca="false">ROUNDUP(C36/$B$32,0)</f>
        <v>2369</v>
      </c>
      <c r="E36" s="31" t="n">
        <f aca="false">D36*Inputs!$B$7</f>
        <v>29.6125</v>
      </c>
    </row>
    <row r="37" customFormat="false" ht="15" hidden="false" customHeight="false" outlineLevel="0" collapsed="false">
      <c r="A37" s="10" t="n">
        <v>3</v>
      </c>
      <c r="B37" s="18" t="n">
        <f aca="false">MIN(A37*$B$11,$B$14*$B$12)</f>
        <v>930</v>
      </c>
      <c r="C37" s="18" t="n">
        <f aca="false">MAX(0,$B$14*$B$12-B37)</f>
        <v>5070</v>
      </c>
      <c r="D37" s="18" t="n">
        <f aca="false">ROUNDUP(C37/$B$32,0)</f>
        <v>2111</v>
      </c>
      <c r="E37" s="31" t="n">
        <f aca="false">D37*Inputs!$B$7</f>
        <v>26.3875</v>
      </c>
    </row>
    <row r="38" customFormat="false" ht="15" hidden="false" customHeight="false" outlineLevel="0" collapsed="false">
      <c r="A38" s="10" t="n">
        <v>7</v>
      </c>
      <c r="B38" s="18" t="n">
        <f aca="false">MIN(A38*$B$11,$B$14*$B$12)</f>
        <v>2170</v>
      </c>
      <c r="C38" s="18" t="n">
        <f aca="false">MAX(0,$B$14*$B$12-B38)</f>
        <v>3830</v>
      </c>
      <c r="D38" s="18" t="n">
        <f aca="false">ROUNDUP(C38/$B$32,0)</f>
        <v>1595</v>
      </c>
      <c r="E38" s="31" t="n">
        <f aca="false">D38*Inputs!$B$7</f>
        <v>19.9375</v>
      </c>
    </row>
    <row r="39" customFormat="false" ht="15" hidden="false" customHeight="false" outlineLevel="0" collapsed="false">
      <c r="A39" s="10" t="n">
        <v>10</v>
      </c>
      <c r="B39" s="18" t="n">
        <f aca="false">MIN(A39*$B$11,$B$14*$B$12)</f>
        <v>3100</v>
      </c>
      <c r="C39" s="18" t="n">
        <f aca="false">MAX(0,$B$14*$B$12-B39)</f>
        <v>2900</v>
      </c>
      <c r="D39" s="18" t="n">
        <f aca="false">ROUNDUP(C39/$B$32,0)</f>
        <v>1208</v>
      </c>
      <c r="E39" s="31" t="n">
        <f aca="false">D39*Inputs!$B$7</f>
        <v>15.1</v>
      </c>
    </row>
    <row r="40" customFormat="false" ht="15" hidden="false" customHeight="false" outlineLevel="0" collapsed="false">
      <c r="A40" s="10" t="n">
        <v>14</v>
      </c>
      <c r="B40" s="18" t="n">
        <f aca="false">MIN(A40*$B$11,$B$14*$B$12)</f>
        <v>4340</v>
      </c>
      <c r="C40" s="18" t="n">
        <f aca="false">MAX(0,$B$14*$B$12-B40)</f>
        <v>1660</v>
      </c>
      <c r="D40" s="18" t="n">
        <f aca="false">ROUNDUP(C40/$B$32,0)</f>
        <v>691</v>
      </c>
      <c r="E40" s="31" t="n">
        <f aca="false">D40*Inputs!$B$7</f>
        <v>8.6375</v>
      </c>
    </row>
    <row r="41" customFormat="false" ht="15" hidden="false" customHeight="false" outlineLevel="0" collapsed="false">
      <c r="A41" s="10" t="n">
        <v>21</v>
      </c>
      <c r="B41" s="18" t="n">
        <f aca="false">MIN(A41*$B$11,$B$14*$B$12)</f>
        <v>6000</v>
      </c>
      <c r="C41" s="18" t="n">
        <f aca="false">MAX(0,$B$14*$B$12-B41)</f>
        <v>0</v>
      </c>
      <c r="D41" s="18" t="n">
        <f aca="false">ROUNDUP(C41/$B$32,0)</f>
        <v>0</v>
      </c>
      <c r="E41" s="31" t="n">
        <f aca="false">D41*Inputs!$B$7</f>
        <v>0</v>
      </c>
    </row>
    <row r="42" customFormat="false" ht="15" hidden="false" customHeight="false" outlineLevel="0" collapsed="false">
      <c r="A42" s="5" t="s">
        <v>169</v>
      </c>
    </row>
  </sheetData>
  <conditionalFormatting sqref="B18">
    <cfRule type="expression" priority="2" aboveAverage="0" equalAverage="0" bottom="0" percent="0" rank="0" text="" dxfId="0">
      <formula>LEFT(B18,2)="OK"</formula>
    </cfRule>
    <cfRule type="expression" priority="3" aboveAverage="0" equalAverage="0" bottom="0" percent="0" rank="0" text="" dxfId="1">
      <formula>AND(B18&lt;&gt;"",LEFT(B18,2)&lt;&gt;"OK")</formula>
    </cfRule>
  </conditionalFormatting>
  <dataValidations count="1">
    <dataValidation allowBlank="false" errorStyle="stop" operator="between" showDropDown="false" showErrorMessage="false" showInputMessage="false" sqref="B31" type="list">
      <formula1>$A$24:$A$29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20"/>
  </cols>
  <sheetData>
    <row r="1" customFormat="false" ht="17.35" hidden="false" customHeight="false" outlineLevel="0" collapsed="false">
      <c r="A1" s="4" t="s">
        <v>170</v>
      </c>
    </row>
    <row r="2" customFormat="false" ht="15" hidden="false" customHeight="false" outlineLevel="0" collapsed="false">
      <c r="A2" s="5" t="s">
        <v>171</v>
      </c>
    </row>
    <row r="4" customFormat="false" ht="30" hidden="false" customHeight="true" outlineLevel="0" collapsed="false">
      <c r="A4" s="6" t="s">
        <v>172</v>
      </c>
      <c r="B4" s="6" t="s">
        <v>173</v>
      </c>
      <c r="C4" s="6" t="s">
        <v>174</v>
      </c>
      <c r="D4" s="6" t="s">
        <v>175</v>
      </c>
      <c r="E4" s="6" t="s">
        <v>176</v>
      </c>
      <c r="F4" s="32" t="str">
        <f aca="false">"Chance in "&amp;Inputs!$B$9&amp;" pulls (ignoring pity)"</f>
        <v>Chance in 60 pulls (ignoring pity)</v>
      </c>
      <c r="G4" s="6" t="s">
        <v>177</v>
      </c>
      <c r="H4" s="6" t="s">
        <v>178</v>
      </c>
    </row>
    <row r="5" customFormat="false" ht="15" hidden="false" customHeight="false" outlineLevel="0" collapsed="false">
      <c r="A5" s="3" t="s">
        <v>179</v>
      </c>
      <c r="B5" s="3" t="s">
        <v>180</v>
      </c>
      <c r="C5" s="33" t="n">
        <v>0.6</v>
      </c>
      <c r="D5" s="34" t="n">
        <f aca="false">1/C5</f>
        <v>1.66666666666667</v>
      </c>
      <c r="E5" s="35" t="n">
        <f aca="false">1-(1-C5)^10</f>
        <v>0.9998951424</v>
      </c>
      <c r="F5" s="36" t="n">
        <f aca="false">1-(1-C5)^Inputs!$B$9</f>
        <v>1</v>
      </c>
      <c r="G5" s="3" t="s">
        <v>181</v>
      </c>
      <c r="H5" s="35" t="n">
        <f aca="false">1-SUM(H6:H9)</f>
        <v>0.54</v>
      </c>
    </row>
    <row r="6" customFormat="false" ht="15" hidden="false" customHeight="false" outlineLevel="0" collapsed="false">
      <c r="A6" s="3" t="s">
        <v>182</v>
      </c>
      <c r="B6" s="3" t="s">
        <v>183</v>
      </c>
      <c r="C6" s="33" t="n">
        <v>0.28</v>
      </c>
      <c r="D6" s="34" t="n">
        <f aca="false">1/C6</f>
        <v>3.57142857142857</v>
      </c>
      <c r="E6" s="35" t="n">
        <f aca="false">1-(1-C6)^10</f>
        <v>0.962560937573755</v>
      </c>
      <c r="F6" s="36" t="n">
        <f aca="false">1-(1-C6)^Inputs!$B$9</f>
        <v>0.99999999724609</v>
      </c>
      <c r="G6" s="19" t="s">
        <v>184</v>
      </c>
      <c r="H6" s="35" t="n">
        <f aca="false">IF(G6="Yes",C6*$B$11,C6)</f>
        <v>0.28</v>
      </c>
    </row>
    <row r="7" customFormat="false" ht="15" hidden="false" customHeight="false" outlineLevel="0" collapsed="false">
      <c r="A7" s="3" t="s">
        <v>185</v>
      </c>
      <c r="B7" s="3" t="s">
        <v>186</v>
      </c>
      <c r="C7" s="33" t="n">
        <v>0.09</v>
      </c>
      <c r="D7" s="34" t="n">
        <f aca="false">1/C7</f>
        <v>11.1111111111111</v>
      </c>
      <c r="E7" s="35" t="n">
        <f aca="false">1-(1-C7)^10</f>
        <v>0.610583881881892</v>
      </c>
      <c r="F7" s="36" t="n">
        <f aca="false">1-(1-C7)^Inputs!$B$9</f>
        <v>0.996512746335884</v>
      </c>
      <c r="G7" s="19" t="s">
        <v>187</v>
      </c>
      <c r="H7" s="35" t="n">
        <f aca="false">IF(G7="Yes",C7*$B$11,C7)</f>
        <v>0.135</v>
      </c>
    </row>
    <row r="8" customFormat="false" ht="15" hidden="false" customHeight="false" outlineLevel="0" collapsed="false">
      <c r="A8" s="3" t="s">
        <v>188</v>
      </c>
      <c r="B8" s="3" t="s">
        <v>189</v>
      </c>
      <c r="C8" s="33" t="n">
        <v>0.025</v>
      </c>
      <c r="D8" s="34" t="n">
        <f aca="false">1/C8</f>
        <v>40</v>
      </c>
      <c r="E8" s="35" t="n">
        <f aca="false">1-(1-C8)^10</f>
        <v>0.223670379143562</v>
      </c>
      <c r="F8" s="36" t="n">
        <f aca="false">1-(1-C8)^Inputs!$B$9</f>
        <v>0.78108428342365</v>
      </c>
      <c r="G8" s="19" t="s">
        <v>187</v>
      </c>
      <c r="H8" s="35" t="n">
        <f aca="false">IF(G8="Yes",C8*$B$11,C8)</f>
        <v>0.0375</v>
      </c>
    </row>
    <row r="9" customFormat="false" ht="15" hidden="false" customHeight="false" outlineLevel="0" collapsed="false">
      <c r="A9" s="3" t="s">
        <v>190</v>
      </c>
      <c r="B9" s="3" t="s">
        <v>191</v>
      </c>
      <c r="C9" s="33" t="n">
        <v>0.005</v>
      </c>
      <c r="D9" s="34" t="n">
        <f aca="false">1/C9</f>
        <v>200</v>
      </c>
      <c r="E9" s="35" t="n">
        <f aca="false">1-(1-C9)^10</f>
        <v>0.0488898695342281</v>
      </c>
      <c r="F9" s="36" t="n">
        <f aca="false">1-(1-C9)^Inputs!$B$9</f>
        <v>0.259739042303296</v>
      </c>
      <c r="G9" s="19" t="s">
        <v>187</v>
      </c>
      <c r="H9" s="35" t="n">
        <f aca="false">IF(G9="Yes",C9*$B$11,C9)</f>
        <v>0.0075</v>
      </c>
    </row>
    <row r="10" customFormat="false" ht="15" hidden="false" customHeight="false" outlineLevel="0" collapsed="false">
      <c r="A10" s="16" t="s">
        <v>192</v>
      </c>
      <c r="C10" s="35" t="n">
        <f aca="false">SUM(C5:C9)</f>
        <v>1</v>
      </c>
      <c r="D10" s="3" t="str">
        <f aca="false">IF(ROUND(C10,6)=1,"OK","Must add up to 100%")</f>
        <v>OK</v>
      </c>
      <c r="H10" s="35" t="n">
        <f aca="false">SUM(H5:H9)</f>
        <v>1</v>
      </c>
    </row>
    <row r="11" customFormat="false" ht="15" hidden="false" customHeight="false" outlineLevel="0" collapsed="false">
      <c r="A11" s="3" t="s">
        <v>193</v>
      </c>
      <c r="B11" s="15" t="n">
        <v>1.5</v>
      </c>
    </row>
    <row r="12" customFormat="false" ht="15" hidden="false" customHeight="false" outlineLevel="0" collapsed="false">
      <c r="A12" s="16" t="s">
        <v>194</v>
      </c>
      <c r="B12" s="3" t="str">
        <f aca="false">IF(H5&gt;=0,"OK: boosted odds still add up to 100%","Boost too big: Trainee odds fell below zero")</f>
        <v>OK: boosted odds still add up to 100%</v>
      </c>
    </row>
    <row r="13" customFormat="false" ht="15" hidden="false" customHeight="false" outlineLevel="0" collapsed="false">
      <c r="A13" s="5" t="s">
        <v>195</v>
      </c>
    </row>
    <row r="15" customFormat="false" ht="23.85" hidden="false" customHeight="false" outlineLevel="0" collapsed="false">
      <c r="A15" s="6" t="s">
        <v>196</v>
      </c>
      <c r="B15" s="6" t="s">
        <v>197</v>
      </c>
      <c r="C15" s="6" t="s">
        <v>198</v>
      </c>
    </row>
    <row r="16" customFormat="false" ht="15" hidden="false" customHeight="false" outlineLevel="0" collapsed="false">
      <c r="A16" s="3" t="s">
        <v>199</v>
      </c>
      <c r="B16" s="33" t="n">
        <v>0.05</v>
      </c>
      <c r="C16" s="5" t="s">
        <v>200</v>
      </c>
    </row>
    <row r="17" customFormat="false" ht="15" hidden="false" customHeight="false" outlineLevel="0" collapsed="false">
      <c r="A17" s="3" t="s">
        <v>201</v>
      </c>
      <c r="B17" s="33" t="n">
        <v>0.005</v>
      </c>
      <c r="C17" s="5" t="s">
        <v>202</v>
      </c>
    </row>
    <row r="19" customFormat="false" ht="15" hidden="false" customHeight="false" outlineLevel="0" collapsed="false">
      <c r="A19" s="2" t="s">
        <v>203</v>
      </c>
    </row>
    <row r="20" customFormat="false" ht="15" hidden="false" customHeight="false" outlineLevel="0" collapsed="false">
      <c r="A20" s="3" t="s">
        <v>204</v>
      </c>
      <c r="B20" s="26" t="n">
        <f aca="false">Inputs!$B$9</f>
        <v>60</v>
      </c>
    </row>
    <row r="21" customFormat="false" ht="15" hidden="false" customHeight="false" outlineLevel="0" collapsed="false">
      <c r="A21" s="3" t="s">
        <v>205</v>
      </c>
      <c r="B21" s="35" t="n">
        <f aca="false">C8+C9</f>
        <v>0.03</v>
      </c>
    </row>
    <row r="22" customFormat="false" ht="15" hidden="false" customHeight="false" outlineLevel="0" collapsed="false">
      <c r="A22" s="3" t="s">
        <v>206</v>
      </c>
      <c r="B22" s="13" t="n">
        <f aca="false">(1-B21)^(B20-1)</f>
        <v>0.165780071156265</v>
      </c>
    </row>
    <row r="23" customFormat="false" ht="15" hidden="false" customHeight="false" outlineLevel="0" collapsed="false">
      <c r="A23" s="3" t="s">
        <v>207</v>
      </c>
      <c r="B23" s="24" t="n">
        <f aca="false">(1-(1-B21)^B20)/B21</f>
        <v>27.9731110326141</v>
      </c>
    </row>
    <row r="25" customFormat="false" ht="15" hidden="false" customHeight="false" outlineLevel="0" collapsed="false">
      <c r="A25" s="3" t="s">
        <v>208</v>
      </c>
      <c r="B25" s="11" t="n">
        <v>10000</v>
      </c>
      <c r="C25" s="5" t="s">
        <v>209</v>
      </c>
    </row>
    <row r="26" customFormat="false" ht="15" hidden="false" customHeight="false" outlineLevel="0" collapsed="false">
      <c r="A26" s="3" t="s">
        <v>210</v>
      </c>
      <c r="B26" s="37" t="n">
        <f aca="false">Gems!$B$32</f>
        <v>2.4024024024024</v>
      </c>
    </row>
    <row r="28" customFormat="false" ht="30" hidden="false" customHeight="true" outlineLevel="0" collapsed="false">
      <c r="A28" s="6" t="s">
        <v>211</v>
      </c>
      <c r="B28" s="6" t="s">
        <v>174</v>
      </c>
      <c r="C28" s="6" t="s">
        <v>212</v>
      </c>
      <c r="D28" s="6" t="s">
        <v>213</v>
      </c>
      <c r="E28" s="6" t="s">
        <v>214</v>
      </c>
      <c r="F28" s="6" t="s">
        <v>154</v>
      </c>
      <c r="G28" s="6" t="s">
        <v>215</v>
      </c>
    </row>
    <row r="29" customFormat="false" ht="15" hidden="false" customHeight="false" outlineLevel="0" collapsed="false">
      <c r="A29" s="3" t="s">
        <v>216</v>
      </c>
      <c r="B29" s="38" t="n">
        <f aca="false">B21</f>
        <v>0.03</v>
      </c>
      <c r="C29" s="34" t="n">
        <f aca="false">B23</f>
        <v>27.9731110326141</v>
      </c>
      <c r="D29" s="39" t="n">
        <f aca="false">C29*Inputs!$B$8</f>
        <v>2797.31110326141</v>
      </c>
      <c r="E29" s="34" t="n">
        <f aca="false">D29/$B$26</f>
        <v>1164.38074673256</v>
      </c>
      <c r="F29" s="40" t="n">
        <f aca="false">E29*Inputs!$B$7</f>
        <v>14.554759334157</v>
      </c>
      <c r="G29" s="3" t="str">
        <f aca="false">IF(E29&lt;=$B$25,"OK to sell in packs","Too costly: make it earnable")</f>
        <v>OK to sell in packs</v>
      </c>
    </row>
    <row r="30" customFormat="false" ht="15" hidden="false" customHeight="false" outlineLevel="0" collapsed="false">
      <c r="A30" s="3" t="s">
        <v>190</v>
      </c>
      <c r="B30" s="38" t="n">
        <f aca="false">C9</f>
        <v>0.005</v>
      </c>
      <c r="C30" s="34" t="n">
        <f aca="false">1/B30</f>
        <v>200</v>
      </c>
      <c r="D30" s="39" t="n">
        <f aca="false">C30*Inputs!$B$8</f>
        <v>20000</v>
      </c>
      <c r="E30" s="34" t="n">
        <f aca="false">D30/$B$26</f>
        <v>8325</v>
      </c>
      <c r="F30" s="40" t="n">
        <f aca="false">E30*Inputs!$B$7</f>
        <v>104.0625</v>
      </c>
      <c r="G30" s="3" t="str">
        <f aca="false">IF(E30&lt;=$B$25,"OK to sell in packs","Too costly: make it earnable")</f>
        <v>OK to sell in packs</v>
      </c>
    </row>
    <row r="31" customFormat="false" ht="15" hidden="false" customHeight="false" outlineLevel="0" collapsed="false">
      <c r="A31" s="3" t="s">
        <v>217</v>
      </c>
      <c r="B31" s="38" t="n">
        <f aca="false">C8*B16</f>
        <v>0.00125</v>
      </c>
      <c r="C31" s="34" t="n">
        <f aca="false">1/B31</f>
        <v>800</v>
      </c>
      <c r="D31" s="39" t="n">
        <f aca="false">C31*Inputs!$B$8</f>
        <v>80000</v>
      </c>
      <c r="E31" s="34" t="n">
        <f aca="false">D31/$B$26</f>
        <v>33300</v>
      </c>
      <c r="F31" s="40" t="n">
        <f aca="false">E31*Inputs!$B$7</f>
        <v>416.25</v>
      </c>
      <c r="G31" s="3" t="str">
        <f aca="false">IF(E31&lt;=$B$25,"OK to sell in packs","Too costly: make it earnable")</f>
        <v>Too costly: make it earnable</v>
      </c>
    </row>
    <row r="32" customFormat="false" ht="15" hidden="false" customHeight="false" outlineLevel="0" collapsed="false">
      <c r="A32" s="3" t="s">
        <v>218</v>
      </c>
      <c r="B32" s="38" t="n">
        <f aca="false">C9*B16</f>
        <v>0.00025</v>
      </c>
      <c r="C32" s="34" t="n">
        <f aca="false">1/B32</f>
        <v>4000</v>
      </c>
      <c r="D32" s="39" t="n">
        <f aca="false">C32*Inputs!$B$8</f>
        <v>400000</v>
      </c>
      <c r="E32" s="34" t="n">
        <f aca="false">D32/$B$26</f>
        <v>166500</v>
      </c>
      <c r="F32" s="40" t="n">
        <f aca="false">E32*Inputs!$B$7</f>
        <v>2081.25</v>
      </c>
      <c r="G32" s="3" t="str">
        <f aca="false">IF(E32&lt;=$B$25,"OK to sell in packs","Too costly: make it earnable")</f>
        <v>Too costly: make it earnable</v>
      </c>
    </row>
    <row r="33" customFormat="false" ht="15" hidden="false" customHeight="false" outlineLevel="0" collapsed="false">
      <c r="A33" s="3" t="s">
        <v>219</v>
      </c>
      <c r="B33" s="38" t="n">
        <f aca="false">C8*B17</f>
        <v>0.000125</v>
      </c>
      <c r="C33" s="34" t="n">
        <f aca="false">1/B33</f>
        <v>8000</v>
      </c>
      <c r="D33" s="39" t="n">
        <f aca="false">C33*Inputs!$B$8</f>
        <v>800000</v>
      </c>
      <c r="E33" s="34" t="n">
        <f aca="false">D33/$B$26</f>
        <v>333000</v>
      </c>
      <c r="F33" s="40" t="n">
        <f aca="false">E33*Inputs!$B$7</f>
        <v>4162.5</v>
      </c>
      <c r="G33" s="3" t="str">
        <f aca="false">IF(E33&lt;=$B$25,"OK to sell in packs","Too costly: make it earnable")</f>
        <v>Too costly: make it earnable</v>
      </c>
    </row>
    <row r="34" customFormat="false" ht="15" hidden="false" customHeight="false" outlineLevel="0" collapsed="false">
      <c r="A34" s="3" t="s">
        <v>220</v>
      </c>
      <c r="B34" s="38" t="n">
        <f aca="false">C9*B17</f>
        <v>2.5E-005</v>
      </c>
      <c r="C34" s="34" t="n">
        <f aca="false">1/B34</f>
        <v>40000</v>
      </c>
      <c r="D34" s="39" t="n">
        <f aca="false">C34*Inputs!$B$8</f>
        <v>4000000</v>
      </c>
      <c r="E34" s="34" t="n">
        <f aca="false">D34/$B$26</f>
        <v>1665000</v>
      </c>
      <c r="F34" s="40" t="n">
        <f aca="false">E34*Inputs!$B$7</f>
        <v>20812.5</v>
      </c>
      <c r="G34" s="3" t="str">
        <f aca="false">IF(E34&lt;=$B$25,"OK to sell in packs","Too costly: make it earnable")</f>
        <v>Too costly: make it earnable</v>
      </c>
    </row>
  </sheetData>
  <conditionalFormatting sqref="D10">
    <cfRule type="expression" priority="2" aboveAverage="0" equalAverage="0" bottom="0" percent="0" rank="0" text="" dxfId="0">
      <formula>LEFT(D10,2)="OK"</formula>
    </cfRule>
    <cfRule type="expression" priority="3" aboveAverage="0" equalAverage="0" bottom="0" percent="0" rank="0" text="" dxfId="1">
      <formula>AND(D10&lt;&gt;"",LEFT(D10,2)&lt;&gt;"OK")</formula>
    </cfRule>
  </conditionalFormatting>
  <conditionalFormatting sqref="B12">
    <cfRule type="expression" priority="4" aboveAverage="0" equalAverage="0" bottom="0" percent="0" rank="0" text="" dxfId="0">
      <formula>LEFT(B12,2)="OK"</formula>
    </cfRule>
    <cfRule type="expression" priority="5" aboveAverage="0" equalAverage="0" bottom="0" percent="0" rank="0" text="" dxfId="1">
      <formula>AND(B12&lt;&gt;"",LEFT(B12,2)&lt;&gt;"OK")</formula>
    </cfRule>
  </conditionalFormatting>
  <conditionalFormatting sqref="G29:G34">
    <cfRule type="expression" priority="6" aboveAverage="0" equalAverage="0" bottom="0" percent="0" rank="0" text="" dxfId="0">
      <formula>LEFT(G29,2)="OK"</formula>
    </cfRule>
    <cfRule type="expression" priority="7" aboveAverage="0" equalAverage="0" bottom="0" percent="0" rank="0" text="" dxfId="1">
      <formula>AND(G29&lt;&gt;"",LEFT(G29,2)&lt;&gt;"OK")</formula>
    </cfRule>
  </conditionalFormatting>
  <dataValidations count="1">
    <dataValidation allowBlank="false" errorStyle="stop" operator="between" showDropDown="false" showErrorMessage="false" showInputMessage="false" sqref="G6:G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11"/>
  </cols>
  <sheetData>
    <row r="1" customFormat="false" ht="17.35" hidden="false" customHeight="false" outlineLevel="0" collapsed="false">
      <c r="A1" s="4" t="s">
        <v>221</v>
      </c>
    </row>
    <row r="2" customFormat="false" ht="15" hidden="false" customHeight="false" outlineLevel="0" collapsed="false">
      <c r="A2" s="5" t="s">
        <v>222</v>
      </c>
    </row>
    <row r="4" customFormat="false" ht="15" hidden="false" customHeight="false" outlineLevel="0" collapsed="false">
      <c r="A4" s="2" t="s">
        <v>223</v>
      </c>
    </row>
    <row r="5" customFormat="false" ht="15" hidden="false" customHeight="false" outlineLevel="0" collapsed="false">
      <c r="A5" s="3" t="s">
        <v>224</v>
      </c>
      <c r="B5" s="10" t="n">
        <v>1000</v>
      </c>
    </row>
    <row r="6" customFormat="false" ht="15" hidden="false" customHeight="false" outlineLevel="0" collapsed="false">
      <c r="A6" s="3" t="s">
        <v>225</v>
      </c>
      <c r="B6" s="12" t="n">
        <v>0.25</v>
      </c>
    </row>
    <row r="7" customFormat="false" ht="15" hidden="false" customHeight="false" outlineLevel="0" collapsed="false">
      <c r="A7" s="3" t="s">
        <v>226</v>
      </c>
      <c r="B7" s="12" t="n">
        <v>0.08</v>
      </c>
    </row>
    <row r="8" customFormat="false" ht="15" hidden="false" customHeight="false" outlineLevel="0" collapsed="false">
      <c r="A8" s="3" t="s">
        <v>227</v>
      </c>
      <c r="B8" s="12" t="n">
        <v>0.03</v>
      </c>
    </row>
    <row r="9" customFormat="false" ht="15" hidden="false" customHeight="false" outlineLevel="0" collapsed="false">
      <c r="A9" s="16" t="s">
        <v>145</v>
      </c>
      <c r="B9" s="3" t="str">
        <f aca="false">IF(AND(B6&gt;=B7,B7&gt;=B8,B8&gt;0),"OK","Day 1 must be &gt;= day 7 &gt;= day 30 &gt; 0")</f>
        <v>OK</v>
      </c>
    </row>
    <row r="11" customFormat="false" ht="23.85" hidden="false" customHeight="false" outlineLevel="0" collapsed="false">
      <c r="A11" s="6" t="s">
        <v>228</v>
      </c>
      <c r="B11" s="6" t="s">
        <v>229</v>
      </c>
    </row>
    <row r="12" customFormat="false" ht="15" hidden="false" customHeight="false" outlineLevel="0" collapsed="false">
      <c r="A12" s="3" t="s">
        <v>230</v>
      </c>
      <c r="B12" s="8" t="n">
        <v>1</v>
      </c>
    </row>
    <row r="13" customFormat="false" ht="15" hidden="false" customHeight="false" outlineLevel="0" collapsed="false">
      <c r="A13" s="3" t="s">
        <v>231</v>
      </c>
      <c r="B13" s="13" t="n">
        <f aca="false">B6</f>
        <v>0.25</v>
      </c>
    </row>
    <row r="14" customFormat="false" ht="15" hidden="false" customHeight="false" outlineLevel="0" collapsed="false">
      <c r="A14" s="3" t="s">
        <v>232</v>
      </c>
      <c r="B14" s="13" t="n">
        <f aca="false">B7</f>
        <v>0.08</v>
      </c>
    </row>
    <row r="15" customFormat="false" ht="15" hidden="false" customHeight="false" outlineLevel="0" collapsed="false">
      <c r="A15" s="3" t="s">
        <v>233</v>
      </c>
      <c r="B15" s="13" t="n">
        <f aca="false">B8</f>
        <v>0.03</v>
      </c>
    </row>
    <row r="17" customFormat="false" ht="54" hidden="false" customHeight="true" outlineLevel="0" collapsed="false">
      <c r="A17" s="6" t="s">
        <v>234</v>
      </c>
      <c r="B17" s="6" t="s">
        <v>235</v>
      </c>
      <c r="C17" s="6" t="s">
        <v>236</v>
      </c>
      <c r="D17" s="6" t="s">
        <v>149</v>
      </c>
      <c r="E17" s="6" t="s">
        <v>237</v>
      </c>
      <c r="F17" s="6" t="s">
        <v>238</v>
      </c>
      <c r="G17" s="6" t="s">
        <v>239</v>
      </c>
      <c r="H17" s="6" t="s">
        <v>240</v>
      </c>
      <c r="I17" s="6" t="s">
        <v>241</v>
      </c>
      <c r="J17" s="6" t="s">
        <v>242</v>
      </c>
      <c r="K17" s="6" t="s">
        <v>243</v>
      </c>
      <c r="L17" s="6" t="s">
        <v>244</v>
      </c>
      <c r="M17" s="6" t="s">
        <v>245</v>
      </c>
      <c r="N17" s="6" t="s">
        <v>246</v>
      </c>
      <c r="O17" s="6" t="s">
        <v>247</v>
      </c>
    </row>
    <row r="18" customFormat="false" ht="15" hidden="false" customHeight="false" outlineLevel="0" collapsed="false">
      <c r="A18" s="3" t="s">
        <v>248</v>
      </c>
      <c r="B18" s="3" t="s">
        <v>249</v>
      </c>
      <c r="C18" s="19" t="s">
        <v>184</v>
      </c>
      <c r="D18" s="10" t="n">
        <v>99</v>
      </c>
      <c r="E18" s="19" t="s">
        <v>230</v>
      </c>
      <c r="F18" s="18" t="n">
        <f aca="false">$B$5*INDEX($B$12:$B$15,MATCH(E18,$A$12:$A$15,0))</f>
        <v>1000</v>
      </c>
      <c r="G18" s="12" t="n">
        <v>0.015</v>
      </c>
      <c r="H18" s="35" t="n">
        <f aca="false">G18*IF(C18="Yes",1-Inputs!$B$12*(1-Inputs!$B$13),1)</f>
        <v>0.015</v>
      </c>
      <c r="I18" s="21" t="n">
        <v>1</v>
      </c>
      <c r="J18" s="35" t="n">
        <f aca="false">F18/$B$5*H18</f>
        <v>0.015</v>
      </c>
      <c r="K18" s="24" t="n">
        <f aca="false">F18*H18</f>
        <v>15</v>
      </c>
      <c r="L18" s="18" t="n">
        <f aca="false">K18*I18*D18</f>
        <v>1485</v>
      </c>
      <c r="M18" s="26" t="n">
        <f aca="false">L18*Inputs!$B$6</f>
        <v>1039.5</v>
      </c>
      <c r="N18" s="31" t="n">
        <f aca="false">M18*Inputs!$B$5</f>
        <v>3.9501</v>
      </c>
      <c r="O18" s="13" t="n">
        <f aca="false">IF($B$47=0,0,N18/$B$47)</f>
        <v>0.0505566876375752</v>
      </c>
    </row>
    <row r="19" customFormat="false" ht="15" hidden="false" customHeight="false" outlineLevel="0" collapsed="false">
      <c r="A19" s="3" t="s">
        <v>250</v>
      </c>
      <c r="B19" s="3" t="s">
        <v>251</v>
      </c>
      <c r="C19" s="19" t="s">
        <v>184</v>
      </c>
      <c r="D19" s="10" t="n">
        <v>199</v>
      </c>
      <c r="E19" s="19" t="s">
        <v>231</v>
      </c>
      <c r="F19" s="18" t="n">
        <f aca="false">$B$5*INDEX($B$12:$B$15,MATCH(E19,$A$12:$A$15,0))</f>
        <v>250</v>
      </c>
      <c r="G19" s="12" t="n">
        <v>0.04</v>
      </c>
      <c r="H19" s="35" t="n">
        <f aca="false">G19*IF(C19="Yes",1-Inputs!$B$12*(1-Inputs!$B$13),1)</f>
        <v>0.04</v>
      </c>
      <c r="I19" s="21" t="n">
        <v>1</v>
      </c>
      <c r="J19" s="35" t="n">
        <f aca="false">F19/$B$5*H19</f>
        <v>0.01</v>
      </c>
      <c r="K19" s="24" t="n">
        <f aca="false">F19*H19</f>
        <v>10</v>
      </c>
      <c r="L19" s="18" t="n">
        <f aca="false">K19*I19*D19</f>
        <v>1990</v>
      </c>
      <c r="M19" s="26" t="n">
        <f aca="false">L19*Inputs!$B$6</f>
        <v>1393</v>
      </c>
      <c r="N19" s="31" t="n">
        <f aca="false">M19*Inputs!$B$5</f>
        <v>5.2934</v>
      </c>
      <c r="O19" s="13" t="n">
        <f aca="false">IF($B$47=0,0,N19/$B$47)</f>
        <v>0.0677493659251008</v>
      </c>
    </row>
    <row r="20" customFormat="false" ht="15" hidden="false" customHeight="false" outlineLevel="0" collapsed="false">
      <c r="A20" s="3" t="s">
        <v>252</v>
      </c>
      <c r="B20" s="3" t="s">
        <v>251</v>
      </c>
      <c r="C20" s="19" t="s">
        <v>184</v>
      </c>
      <c r="D20" s="10" t="n">
        <v>149</v>
      </c>
      <c r="E20" s="19" t="s">
        <v>231</v>
      </c>
      <c r="F20" s="18" t="n">
        <f aca="false">$B$5*INDEX($B$12:$B$15,MATCH(E20,$A$12:$A$15,0))</f>
        <v>250</v>
      </c>
      <c r="G20" s="12" t="n">
        <v>0.03</v>
      </c>
      <c r="H20" s="35" t="n">
        <f aca="false">G20*IF(C20="Yes",1-Inputs!$B$12*(1-Inputs!$B$13),1)</f>
        <v>0.03</v>
      </c>
      <c r="I20" s="21" t="n">
        <v>1</v>
      </c>
      <c r="J20" s="35" t="n">
        <f aca="false">F20/$B$5*H20</f>
        <v>0.0075</v>
      </c>
      <c r="K20" s="24" t="n">
        <f aca="false">F20*H20</f>
        <v>7.5</v>
      </c>
      <c r="L20" s="18" t="n">
        <f aca="false">K20*I20*D20</f>
        <v>1117.5</v>
      </c>
      <c r="M20" s="26" t="n">
        <f aca="false">L20*Inputs!$B$6</f>
        <v>782.25</v>
      </c>
      <c r="N20" s="31" t="n">
        <f aca="false">M20*Inputs!$B$5</f>
        <v>2.97255</v>
      </c>
      <c r="O20" s="13" t="n">
        <f aca="false">IF($B$47=0,0,N20/$B$47)</f>
        <v>0.0380451841313066</v>
      </c>
    </row>
    <row r="21" customFormat="false" ht="15" hidden="false" customHeight="false" outlineLevel="0" collapsed="false">
      <c r="A21" s="3" t="s">
        <v>253</v>
      </c>
      <c r="B21" s="3" t="s">
        <v>251</v>
      </c>
      <c r="C21" s="19" t="s">
        <v>187</v>
      </c>
      <c r="D21" s="10" t="n">
        <v>249</v>
      </c>
      <c r="E21" s="19" t="s">
        <v>231</v>
      </c>
      <c r="F21" s="18" t="n">
        <f aca="false">$B$5*INDEX($B$12:$B$15,MATCH(E21,$A$12:$A$15,0))</f>
        <v>250</v>
      </c>
      <c r="G21" s="12" t="n">
        <v>0.02</v>
      </c>
      <c r="H21" s="35" t="n">
        <f aca="false">G21*IF(C21="Yes",1-Inputs!$B$12*(1-Inputs!$B$13),1)</f>
        <v>0.0179</v>
      </c>
      <c r="I21" s="21" t="n">
        <v>1</v>
      </c>
      <c r="J21" s="35" t="n">
        <f aca="false">F21/$B$5*H21</f>
        <v>0.004475</v>
      </c>
      <c r="K21" s="24" t="n">
        <f aca="false">F21*H21</f>
        <v>4.475</v>
      </c>
      <c r="L21" s="18" t="n">
        <f aca="false">K21*I21*D21</f>
        <v>1114.275</v>
      </c>
      <c r="M21" s="26" t="n">
        <f aca="false">L21*Inputs!$B$6</f>
        <v>779.9925</v>
      </c>
      <c r="N21" s="31" t="n">
        <f aca="false">M21*Inputs!$B$5</f>
        <v>2.9639715</v>
      </c>
      <c r="O21" s="13" t="n">
        <f aca="false">IF($B$47=0,0,N21/$B$47)</f>
        <v>0.0379353893046189</v>
      </c>
    </row>
    <row r="22" customFormat="false" ht="15" hidden="false" customHeight="false" outlineLevel="0" collapsed="false">
      <c r="A22" s="3" t="s">
        <v>254</v>
      </c>
      <c r="B22" s="3" t="s">
        <v>251</v>
      </c>
      <c r="C22" s="19" t="s">
        <v>184</v>
      </c>
      <c r="D22" s="10" t="n">
        <v>149</v>
      </c>
      <c r="E22" s="19" t="s">
        <v>231</v>
      </c>
      <c r="F22" s="18" t="n">
        <f aca="false">$B$5*INDEX($B$12:$B$15,MATCH(E22,$A$12:$A$15,0))</f>
        <v>250</v>
      </c>
      <c r="G22" s="12" t="n">
        <v>0.015</v>
      </c>
      <c r="H22" s="35" t="n">
        <f aca="false">G22*IF(C22="Yes",1-Inputs!$B$12*(1-Inputs!$B$13),1)</f>
        <v>0.015</v>
      </c>
      <c r="I22" s="21" t="n">
        <v>1</v>
      </c>
      <c r="J22" s="35" t="n">
        <f aca="false">F22/$B$5*H22</f>
        <v>0.00375</v>
      </c>
      <c r="K22" s="24" t="n">
        <f aca="false">F22*H22</f>
        <v>3.75</v>
      </c>
      <c r="L22" s="18" t="n">
        <f aca="false">K22*I22*D22</f>
        <v>558.75</v>
      </c>
      <c r="M22" s="26" t="n">
        <f aca="false">L22*Inputs!$B$6</f>
        <v>391.125</v>
      </c>
      <c r="N22" s="31" t="n">
        <f aca="false">M22*Inputs!$B$5</f>
        <v>1.486275</v>
      </c>
      <c r="O22" s="13" t="n">
        <f aca="false">IF($B$47=0,0,N22/$B$47)</f>
        <v>0.0190225920656533</v>
      </c>
    </row>
    <row r="23" customFormat="false" ht="15" hidden="false" customHeight="false" outlineLevel="0" collapsed="false">
      <c r="A23" s="3" t="s">
        <v>255</v>
      </c>
      <c r="B23" s="3" t="s">
        <v>256</v>
      </c>
      <c r="C23" s="19" t="s">
        <v>187</v>
      </c>
      <c r="D23" s="10" t="n">
        <v>499</v>
      </c>
      <c r="E23" s="19" t="s">
        <v>231</v>
      </c>
      <c r="F23" s="18" t="n">
        <f aca="false">$B$5*INDEX($B$12:$B$15,MATCH(E23,$A$12:$A$15,0))</f>
        <v>250</v>
      </c>
      <c r="G23" s="12" t="n">
        <v>0.03</v>
      </c>
      <c r="H23" s="35" t="n">
        <f aca="false">G23*IF(C23="Yes",1-Inputs!$B$12*(1-Inputs!$B$13),1)</f>
        <v>0.02685</v>
      </c>
      <c r="I23" s="21" t="n">
        <v>2.5</v>
      </c>
      <c r="J23" s="35" t="n">
        <f aca="false">F23/$B$5*H23</f>
        <v>0.0067125</v>
      </c>
      <c r="K23" s="24" t="n">
        <f aca="false">F23*H23</f>
        <v>6.7125</v>
      </c>
      <c r="L23" s="18" t="n">
        <f aca="false">K23*I23*D23</f>
        <v>8373.84375</v>
      </c>
      <c r="M23" s="26" t="n">
        <f aca="false">L23*Inputs!$B$6</f>
        <v>5861.690625</v>
      </c>
      <c r="N23" s="31" t="n">
        <f aca="false">M23*Inputs!$B$5</f>
        <v>22.274424375</v>
      </c>
      <c r="O23" s="13" t="n">
        <f aca="false">IF($B$47=0,0,N23/$B$47)</f>
        <v>0.285086735888627</v>
      </c>
    </row>
    <row r="24" customFormat="false" ht="15" hidden="false" customHeight="false" outlineLevel="0" collapsed="false">
      <c r="A24" s="3" t="s">
        <v>257</v>
      </c>
      <c r="B24" s="3" t="s">
        <v>256</v>
      </c>
      <c r="C24" s="19" t="s">
        <v>187</v>
      </c>
      <c r="D24" s="10" t="n">
        <v>49</v>
      </c>
      <c r="E24" s="19" t="s">
        <v>231</v>
      </c>
      <c r="F24" s="18" t="n">
        <f aca="false">$B$5*INDEX($B$12:$B$15,MATCH(E24,$A$12:$A$15,0))</f>
        <v>250</v>
      </c>
      <c r="G24" s="12" t="n">
        <v>0.02</v>
      </c>
      <c r="H24" s="35" t="n">
        <f aca="false">G24*IF(C24="Yes",1-Inputs!$B$12*(1-Inputs!$B$13),1)</f>
        <v>0.0179</v>
      </c>
      <c r="I24" s="21" t="n">
        <v>4</v>
      </c>
      <c r="J24" s="35" t="n">
        <f aca="false">F24/$B$5*H24</f>
        <v>0.004475</v>
      </c>
      <c r="K24" s="24" t="n">
        <f aca="false">F24*H24</f>
        <v>4.475</v>
      </c>
      <c r="L24" s="18" t="n">
        <f aca="false">K24*I24*D24</f>
        <v>877.1</v>
      </c>
      <c r="M24" s="26" t="n">
        <f aca="false">L24*Inputs!$B$6</f>
        <v>613.97</v>
      </c>
      <c r="N24" s="31" t="n">
        <f aca="false">M24*Inputs!$B$5</f>
        <v>2.333086</v>
      </c>
      <c r="O24" s="13" t="n">
        <f aca="false">IF($B$47=0,0,N24/$B$47)</f>
        <v>0.0298607883682944</v>
      </c>
    </row>
    <row r="25" customFormat="false" ht="15" hidden="false" customHeight="false" outlineLevel="0" collapsed="false">
      <c r="A25" s="3" t="s">
        <v>258</v>
      </c>
      <c r="B25" s="3" t="s">
        <v>256</v>
      </c>
      <c r="C25" s="19" t="s">
        <v>184</v>
      </c>
      <c r="D25" s="10" t="n">
        <v>299</v>
      </c>
      <c r="E25" s="19" t="s">
        <v>231</v>
      </c>
      <c r="F25" s="18" t="n">
        <f aca="false">$B$5*INDEX($B$12:$B$15,MATCH(E25,$A$12:$A$15,0))</f>
        <v>250</v>
      </c>
      <c r="G25" s="12" t="n">
        <v>0.02</v>
      </c>
      <c r="H25" s="35" t="n">
        <f aca="false">G25*IF(C25="Yes",1-Inputs!$B$12*(1-Inputs!$B$13),1)</f>
        <v>0.02</v>
      </c>
      <c r="I25" s="21" t="n">
        <v>1.5</v>
      </c>
      <c r="J25" s="35" t="n">
        <f aca="false">F25/$B$5*H25</f>
        <v>0.005</v>
      </c>
      <c r="K25" s="24" t="n">
        <f aca="false">F25*H25</f>
        <v>5</v>
      </c>
      <c r="L25" s="18" t="n">
        <f aca="false">K25*I25*D25</f>
        <v>2242.5</v>
      </c>
      <c r="M25" s="26" t="n">
        <f aca="false">L25*Inputs!$B$6</f>
        <v>1569.75</v>
      </c>
      <c r="N25" s="31" t="n">
        <f aca="false">M25*Inputs!$B$5</f>
        <v>5.96505</v>
      </c>
      <c r="O25" s="13" t="n">
        <f aca="false">IF($B$47=0,0,N25/$B$47)</f>
        <v>0.0763457050688635</v>
      </c>
    </row>
    <row r="26" customFormat="false" ht="15" hidden="false" customHeight="false" outlineLevel="0" collapsed="false">
      <c r="A26" s="3" t="s">
        <v>259</v>
      </c>
      <c r="B26" s="3" t="s">
        <v>251</v>
      </c>
      <c r="C26" s="19" t="s">
        <v>187</v>
      </c>
      <c r="D26" s="10" t="n">
        <v>799</v>
      </c>
      <c r="E26" s="19" t="s">
        <v>232</v>
      </c>
      <c r="F26" s="18" t="n">
        <f aca="false">$B$5*INDEX($B$12:$B$15,MATCH(E26,$A$12:$A$15,0))</f>
        <v>80</v>
      </c>
      <c r="G26" s="12" t="n">
        <v>0.03</v>
      </c>
      <c r="H26" s="35" t="n">
        <f aca="false">G26*IF(C26="Yes",1-Inputs!$B$12*(1-Inputs!$B$13),1)</f>
        <v>0.02685</v>
      </c>
      <c r="I26" s="21" t="n">
        <v>1</v>
      </c>
      <c r="J26" s="35" t="n">
        <f aca="false">F26/$B$5*H26</f>
        <v>0.002148</v>
      </c>
      <c r="K26" s="24" t="n">
        <f aca="false">F26*H26</f>
        <v>2.148</v>
      </c>
      <c r="L26" s="18" t="n">
        <f aca="false">K26*I26*D26</f>
        <v>1716.252</v>
      </c>
      <c r="M26" s="26" t="n">
        <f aca="false">L26*Inputs!$B$6</f>
        <v>1201.3764</v>
      </c>
      <c r="N26" s="31" t="n">
        <f aca="false">M26*Inputs!$B$5</f>
        <v>4.56523032</v>
      </c>
      <c r="O26" s="13" t="n">
        <f aca="false">IF($B$47=0,0,N26/$B$47)</f>
        <v>0.0584296405867769</v>
      </c>
    </row>
    <row r="27" customFormat="false" ht="15" hidden="false" customHeight="false" outlineLevel="0" collapsed="false">
      <c r="A27" s="3" t="s">
        <v>260</v>
      </c>
      <c r="B27" s="3" t="s">
        <v>251</v>
      </c>
      <c r="C27" s="19" t="s">
        <v>187</v>
      </c>
      <c r="D27" s="10" t="n">
        <v>349</v>
      </c>
      <c r="E27" s="19" t="s">
        <v>232</v>
      </c>
      <c r="F27" s="18" t="n">
        <f aca="false">$B$5*INDEX($B$12:$B$15,MATCH(E27,$A$12:$A$15,0))</f>
        <v>80</v>
      </c>
      <c r="G27" s="12" t="n">
        <v>0.04</v>
      </c>
      <c r="H27" s="35" t="n">
        <f aca="false">G27*IF(C27="Yes",1-Inputs!$B$12*(1-Inputs!$B$13),1)</f>
        <v>0.0358</v>
      </c>
      <c r="I27" s="21" t="n">
        <v>1</v>
      </c>
      <c r="J27" s="35" t="n">
        <f aca="false">F27/$B$5*H27</f>
        <v>0.002864</v>
      </c>
      <c r="K27" s="24" t="n">
        <f aca="false">F27*H27</f>
        <v>2.864</v>
      </c>
      <c r="L27" s="18" t="n">
        <f aca="false">K27*I27*D27</f>
        <v>999.536</v>
      </c>
      <c r="M27" s="26" t="n">
        <f aca="false">L27*Inputs!$B$6</f>
        <v>699.6752</v>
      </c>
      <c r="N27" s="31" t="n">
        <f aca="false">M27*Inputs!$B$5</f>
        <v>2.65876576</v>
      </c>
      <c r="O27" s="13" t="n">
        <f aca="false">IF($B$47=0,0,N27/$B$47)</f>
        <v>0.0340291106629706</v>
      </c>
    </row>
    <row r="28" customFormat="false" ht="15" hidden="false" customHeight="false" outlineLevel="0" collapsed="false">
      <c r="A28" s="3" t="s">
        <v>261</v>
      </c>
      <c r="B28" s="3" t="s">
        <v>251</v>
      </c>
      <c r="C28" s="19" t="s">
        <v>184</v>
      </c>
      <c r="D28" s="10" t="n">
        <v>299</v>
      </c>
      <c r="E28" s="19" t="s">
        <v>232</v>
      </c>
      <c r="F28" s="18" t="n">
        <f aca="false">$B$5*INDEX($B$12:$B$15,MATCH(E28,$A$12:$A$15,0))</f>
        <v>80</v>
      </c>
      <c r="G28" s="12" t="n">
        <v>0.04</v>
      </c>
      <c r="H28" s="35" t="n">
        <f aca="false">G28*IF(C28="Yes",1-Inputs!$B$12*(1-Inputs!$B$13),1)</f>
        <v>0.04</v>
      </c>
      <c r="I28" s="21" t="n">
        <v>1</v>
      </c>
      <c r="J28" s="35" t="n">
        <f aca="false">F28/$B$5*H28</f>
        <v>0.0032</v>
      </c>
      <c r="K28" s="24" t="n">
        <f aca="false">F28*H28</f>
        <v>3.2</v>
      </c>
      <c r="L28" s="18" t="n">
        <f aca="false">K28*I28*D28</f>
        <v>956.8</v>
      </c>
      <c r="M28" s="26" t="n">
        <f aca="false">L28*Inputs!$B$6</f>
        <v>669.76</v>
      </c>
      <c r="N28" s="31" t="n">
        <f aca="false">M28*Inputs!$B$5</f>
        <v>2.545088</v>
      </c>
      <c r="O28" s="13" t="n">
        <f aca="false">IF($B$47=0,0,N28/$B$47)</f>
        <v>0.0325741674960484</v>
      </c>
    </row>
    <row r="29" customFormat="false" ht="15" hidden="false" customHeight="false" outlineLevel="0" collapsed="false">
      <c r="A29" s="3" t="s">
        <v>262</v>
      </c>
      <c r="B29" s="3" t="s">
        <v>251</v>
      </c>
      <c r="C29" s="19" t="s">
        <v>184</v>
      </c>
      <c r="D29" s="10" t="n">
        <v>499</v>
      </c>
      <c r="E29" s="19" t="s">
        <v>232</v>
      </c>
      <c r="F29" s="18" t="n">
        <f aca="false">$B$5*INDEX($B$12:$B$15,MATCH(E29,$A$12:$A$15,0))</f>
        <v>80</v>
      </c>
      <c r="G29" s="12" t="n">
        <v>0.02</v>
      </c>
      <c r="H29" s="35" t="n">
        <f aca="false">G29*IF(C29="Yes",1-Inputs!$B$12*(1-Inputs!$B$13),1)</f>
        <v>0.02</v>
      </c>
      <c r="I29" s="21" t="n">
        <v>1</v>
      </c>
      <c r="J29" s="35" t="n">
        <f aca="false">F29/$B$5*H29</f>
        <v>0.0016</v>
      </c>
      <c r="K29" s="24" t="n">
        <f aca="false">F29*H29</f>
        <v>1.6</v>
      </c>
      <c r="L29" s="18" t="n">
        <f aca="false">K29*I29*D29</f>
        <v>798.4</v>
      </c>
      <c r="M29" s="26" t="n">
        <f aca="false">L29*Inputs!$B$6</f>
        <v>558.88</v>
      </c>
      <c r="N29" s="31" t="n">
        <f aca="false">M29*Inputs!$B$5</f>
        <v>2.123744</v>
      </c>
      <c r="O29" s="13" t="n">
        <f aca="false">IF($B$47=0,0,N29/$B$47)</f>
        <v>0.0271814541480404</v>
      </c>
    </row>
    <row r="30" customFormat="false" ht="15" hidden="false" customHeight="false" outlineLevel="0" collapsed="false">
      <c r="A30" s="3" t="s">
        <v>263</v>
      </c>
      <c r="B30" s="3" t="s">
        <v>256</v>
      </c>
      <c r="C30" s="19" t="s">
        <v>187</v>
      </c>
      <c r="D30" s="10" t="n">
        <v>99</v>
      </c>
      <c r="E30" s="19" t="s">
        <v>232</v>
      </c>
      <c r="F30" s="18" t="n">
        <f aca="false">$B$5*INDEX($B$12:$B$15,MATCH(E30,$A$12:$A$15,0))</f>
        <v>80</v>
      </c>
      <c r="G30" s="12" t="n">
        <v>0.05</v>
      </c>
      <c r="H30" s="35" t="n">
        <f aca="false">G30*IF(C30="Yes",1-Inputs!$B$12*(1-Inputs!$B$13),1)</f>
        <v>0.04475</v>
      </c>
      <c r="I30" s="21" t="n">
        <v>3</v>
      </c>
      <c r="J30" s="35" t="n">
        <f aca="false">F30/$B$5*H30</f>
        <v>0.00358</v>
      </c>
      <c r="K30" s="24" t="n">
        <f aca="false">F30*H30</f>
        <v>3.58</v>
      </c>
      <c r="L30" s="18" t="n">
        <f aca="false">K30*I30*D30</f>
        <v>1063.26</v>
      </c>
      <c r="M30" s="26" t="n">
        <f aca="false">L30*Inputs!$B$6</f>
        <v>744.282</v>
      </c>
      <c r="N30" s="31" t="n">
        <f aca="false">M30*Inputs!$B$5</f>
        <v>2.8282716</v>
      </c>
      <c r="O30" s="13" t="n">
        <f aca="false">IF($B$47=0,0,N30/$B$47)</f>
        <v>0.0361985883485039</v>
      </c>
    </row>
    <row r="31" customFormat="false" ht="15" hidden="false" customHeight="false" outlineLevel="0" collapsed="false">
      <c r="A31" s="3" t="s">
        <v>264</v>
      </c>
      <c r="B31" s="3" t="s">
        <v>256</v>
      </c>
      <c r="C31" s="19" t="s">
        <v>184</v>
      </c>
      <c r="D31" s="10" t="n">
        <v>199</v>
      </c>
      <c r="E31" s="19" t="s">
        <v>232</v>
      </c>
      <c r="F31" s="18" t="n">
        <f aca="false">$B$5*INDEX($B$12:$B$15,MATCH(E31,$A$12:$A$15,0))</f>
        <v>80</v>
      </c>
      <c r="G31" s="12" t="n">
        <v>0.015</v>
      </c>
      <c r="H31" s="35" t="n">
        <f aca="false">G31*IF(C31="Yes",1-Inputs!$B$12*(1-Inputs!$B$13),1)</f>
        <v>0.015</v>
      </c>
      <c r="I31" s="21" t="n">
        <v>1.5</v>
      </c>
      <c r="J31" s="35" t="n">
        <f aca="false">F31/$B$5*H31</f>
        <v>0.0012</v>
      </c>
      <c r="K31" s="24" t="n">
        <f aca="false">F31*H31</f>
        <v>1.2</v>
      </c>
      <c r="L31" s="18" t="n">
        <f aca="false">K31*I31*D31</f>
        <v>358.2</v>
      </c>
      <c r="M31" s="26" t="n">
        <f aca="false">L31*Inputs!$B$6</f>
        <v>250.74</v>
      </c>
      <c r="N31" s="31" t="n">
        <f aca="false">M31*Inputs!$B$5</f>
        <v>0.952812</v>
      </c>
      <c r="O31" s="13" t="n">
        <f aca="false">IF($B$47=0,0,N31/$B$47)</f>
        <v>0.0121948858665181</v>
      </c>
    </row>
    <row r="32" customFormat="false" ht="15" hidden="false" customHeight="false" outlineLevel="0" collapsed="false">
      <c r="A32" s="3" t="s">
        <v>265</v>
      </c>
      <c r="B32" s="3" t="s">
        <v>256</v>
      </c>
      <c r="C32" s="19" t="s">
        <v>184</v>
      </c>
      <c r="D32" s="10" t="n">
        <v>399</v>
      </c>
      <c r="E32" s="19" t="s">
        <v>232</v>
      </c>
      <c r="F32" s="18" t="n">
        <f aca="false">$B$5*INDEX($B$12:$B$15,MATCH(E32,$A$12:$A$15,0))</f>
        <v>80</v>
      </c>
      <c r="G32" s="12" t="n">
        <v>0.08</v>
      </c>
      <c r="H32" s="35" t="n">
        <f aca="false">G32*IF(C32="Yes",1-Inputs!$B$12*(1-Inputs!$B$13),1)</f>
        <v>0.08</v>
      </c>
      <c r="I32" s="21" t="n">
        <v>1</v>
      </c>
      <c r="J32" s="35" t="n">
        <f aca="false">F32/$B$5*H32</f>
        <v>0.0064</v>
      </c>
      <c r="K32" s="24" t="n">
        <f aca="false">F32*H32</f>
        <v>6.4</v>
      </c>
      <c r="L32" s="18" t="n">
        <f aca="false">K32*I32*D32</f>
        <v>2553.6</v>
      </c>
      <c r="M32" s="26" t="n">
        <f aca="false">L32*Inputs!$B$6</f>
        <v>1787.52</v>
      </c>
      <c r="N32" s="31" t="n">
        <f aca="false">M32*Inputs!$B$5</f>
        <v>6.792576</v>
      </c>
      <c r="O32" s="13" t="n">
        <f aca="false">IF($B$47=0,0,N32/$B$47)</f>
        <v>0.0869370757921293</v>
      </c>
    </row>
    <row r="33" customFormat="false" ht="15" hidden="false" customHeight="false" outlineLevel="0" collapsed="false">
      <c r="A33" s="3" t="s">
        <v>266</v>
      </c>
      <c r="B33" s="3" t="s">
        <v>256</v>
      </c>
      <c r="C33" s="19" t="s">
        <v>184</v>
      </c>
      <c r="D33" s="10" t="n">
        <v>99</v>
      </c>
      <c r="E33" s="19" t="s">
        <v>232</v>
      </c>
      <c r="F33" s="18" t="n">
        <f aca="false">$B$5*INDEX($B$12:$B$15,MATCH(E33,$A$12:$A$15,0))</f>
        <v>80</v>
      </c>
      <c r="G33" s="12" t="n">
        <v>0.03</v>
      </c>
      <c r="H33" s="35" t="n">
        <f aca="false">G33*IF(C33="Yes",1-Inputs!$B$12*(1-Inputs!$B$13),1)</f>
        <v>0.03</v>
      </c>
      <c r="I33" s="21" t="n">
        <v>2</v>
      </c>
      <c r="J33" s="35" t="n">
        <f aca="false">F33/$B$5*H33</f>
        <v>0.0024</v>
      </c>
      <c r="K33" s="24" t="n">
        <f aca="false">F33*H33</f>
        <v>2.4</v>
      </c>
      <c r="L33" s="18" t="n">
        <f aca="false">K33*I33*D33</f>
        <v>475.2</v>
      </c>
      <c r="M33" s="26" t="n">
        <f aca="false">L33*Inputs!$B$6</f>
        <v>332.64</v>
      </c>
      <c r="N33" s="31" t="n">
        <f aca="false">M33*Inputs!$B$5</f>
        <v>1.264032</v>
      </c>
      <c r="O33" s="13" t="n">
        <f aca="false">IF($B$47=0,0,N33/$B$47)</f>
        <v>0.0161781400440241</v>
      </c>
    </row>
    <row r="34" customFormat="false" ht="15" hidden="false" customHeight="false" outlineLevel="0" collapsed="false">
      <c r="A34" s="3" t="s">
        <v>267</v>
      </c>
      <c r="B34" s="3" t="s">
        <v>256</v>
      </c>
      <c r="C34" s="19" t="s">
        <v>184</v>
      </c>
      <c r="D34" s="10" t="n">
        <v>149</v>
      </c>
      <c r="E34" s="19" t="s">
        <v>232</v>
      </c>
      <c r="F34" s="18" t="n">
        <f aca="false">$B$5*INDEX($B$12:$B$15,MATCH(E34,$A$12:$A$15,0))</f>
        <v>80</v>
      </c>
      <c r="G34" s="12" t="n">
        <v>0.05</v>
      </c>
      <c r="H34" s="35" t="n">
        <f aca="false">G34*IF(C34="Yes",1-Inputs!$B$12*(1-Inputs!$B$13),1)</f>
        <v>0.05</v>
      </c>
      <c r="I34" s="21" t="n">
        <v>2</v>
      </c>
      <c r="J34" s="35" t="n">
        <f aca="false">F34/$B$5*H34</f>
        <v>0.004</v>
      </c>
      <c r="K34" s="24" t="n">
        <f aca="false">F34*H34</f>
        <v>4</v>
      </c>
      <c r="L34" s="18" t="n">
        <f aca="false">K34*I34*D34</f>
        <v>1192</v>
      </c>
      <c r="M34" s="26" t="n">
        <f aca="false">L34*Inputs!$B$6</f>
        <v>834.4</v>
      </c>
      <c r="N34" s="31" t="n">
        <f aca="false">M34*Inputs!$B$5</f>
        <v>3.17072</v>
      </c>
      <c r="O34" s="13" t="n">
        <f aca="false">IF($B$47=0,0,N34/$B$47)</f>
        <v>0.0405815297400604</v>
      </c>
    </row>
    <row r="35" customFormat="false" ht="15" hidden="false" customHeight="false" outlineLevel="0" collapsed="false">
      <c r="A35" s="16" t="s">
        <v>268</v>
      </c>
      <c r="L35" s="41" t="n">
        <f aca="false">SUM(L18:L34)</f>
        <v>27872.21675</v>
      </c>
      <c r="M35" s="41" t="n">
        <f aca="false">SUM(M18:M34)</f>
        <v>19510.551725</v>
      </c>
      <c r="N35" s="42" t="n">
        <f aca="false">SUM(N18:N34)</f>
        <v>74.140096555</v>
      </c>
      <c r="O35" s="43" t="n">
        <f aca="false">SUM(O18:O34)</f>
        <v>0.948907041075112</v>
      </c>
    </row>
    <row r="37" customFormat="false" ht="15" hidden="false" customHeight="false" outlineLevel="0" collapsed="false">
      <c r="A37" s="2" t="s">
        <v>269</v>
      </c>
    </row>
    <row r="38" customFormat="false" ht="15" hidden="false" customHeight="false" outlineLevel="0" collapsed="false">
      <c r="A38" s="3" t="s">
        <v>270</v>
      </c>
      <c r="B38" s="44" t="n">
        <v>4.99</v>
      </c>
    </row>
    <row r="39" customFormat="false" ht="15" hidden="false" customHeight="false" outlineLevel="0" collapsed="false">
      <c r="A39" s="3" t="s">
        <v>237</v>
      </c>
      <c r="B39" s="19" t="s">
        <v>232</v>
      </c>
    </row>
    <row r="40" customFormat="false" ht="15" hidden="false" customHeight="false" outlineLevel="0" collapsed="false">
      <c r="A40" s="3" t="s">
        <v>271</v>
      </c>
      <c r="B40" s="12" t="n">
        <v>0.02</v>
      </c>
    </row>
    <row r="41" customFormat="false" ht="15" hidden="false" customHeight="false" outlineLevel="0" collapsed="false">
      <c r="A41" s="3" t="s">
        <v>272</v>
      </c>
      <c r="B41" s="21" t="n">
        <v>1</v>
      </c>
    </row>
    <row r="42" customFormat="false" ht="15" hidden="false" customHeight="false" outlineLevel="0" collapsed="false">
      <c r="A42" s="3" t="s">
        <v>273</v>
      </c>
      <c r="B42" s="12" t="n">
        <v>0.5</v>
      </c>
      <c r="C42" s="5" t="s">
        <v>274</v>
      </c>
    </row>
    <row r="43" customFormat="false" ht="15" hidden="false" customHeight="false" outlineLevel="0" collapsed="false">
      <c r="A43" s="3" t="s">
        <v>275</v>
      </c>
      <c r="B43" s="22" t="n">
        <f aca="false">$B$5*INDEX($B$12:$B$15,MATCH(B39,$A$12:$A$15,0))*B40</f>
        <v>1.6</v>
      </c>
    </row>
    <row r="44" customFormat="false" ht="15" hidden="false" customHeight="false" outlineLevel="0" collapsed="false">
      <c r="A44" s="3" t="s">
        <v>276</v>
      </c>
      <c r="B44" s="45" t="n">
        <f aca="false">B43*B41*B38*B42</f>
        <v>3.992</v>
      </c>
    </row>
    <row r="46" customFormat="false" ht="15" hidden="false" customHeight="false" outlineLevel="0" collapsed="false">
      <c r="A46" s="2" t="s">
        <v>277</v>
      </c>
    </row>
    <row r="47" customFormat="false" ht="15" hidden="false" customHeight="false" outlineLevel="0" collapsed="false">
      <c r="A47" s="16" t="s">
        <v>278</v>
      </c>
      <c r="B47" s="42" t="n">
        <f aca="false">N35+B44</f>
        <v>78.132096555</v>
      </c>
    </row>
    <row r="48" customFormat="false" ht="15" hidden="false" customHeight="false" outlineLevel="0" collapsed="false">
      <c r="A48" s="16" t="s">
        <v>279</v>
      </c>
      <c r="B48" s="46" t="n">
        <f aca="false">B47/B5</f>
        <v>0.078132096555</v>
      </c>
    </row>
    <row r="49" customFormat="false" ht="15" hidden="false" customHeight="false" outlineLevel="0" collapsed="false">
      <c r="A49" s="3" t="s">
        <v>280</v>
      </c>
      <c r="B49" s="45" t="n">
        <f aca="false">IF(B7=0,0,B47/(B5*B7))</f>
        <v>0.9766512069375</v>
      </c>
    </row>
    <row r="50" customFormat="false" ht="15" hidden="false" customHeight="false" outlineLevel="0" collapsed="false">
      <c r="A50" s="3" t="s">
        <v>281</v>
      </c>
      <c r="B50" s="45" t="n">
        <f aca="false">L35*Inputs!$B$7+B43*B41*B38</f>
        <v>356.386709375</v>
      </c>
      <c r="C50" s="5" t="s">
        <v>282</v>
      </c>
    </row>
    <row r="51" customFormat="false" ht="15" hidden="false" customHeight="false" outlineLevel="0" collapsed="false">
      <c r="A51" s="3" t="s">
        <v>283</v>
      </c>
      <c r="B51" s="13" t="n">
        <f aca="false">IF(B50=0,0,B47/B50)</f>
        <v>0.219234035668786</v>
      </c>
    </row>
    <row r="52" customFormat="false" ht="15" hidden="false" customHeight="false" outlineLevel="0" collapsed="false">
      <c r="A52" s="3" t="s">
        <v>284</v>
      </c>
      <c r="B52" s="13" t="n">
        <f aca="false">1-EXP(SUMPRODUCT(LN(1-J18:J34)))*(1-B43/B5)</f>
        <v>0.082600073996382</v>
      </c>
      <c r="C52" s="5" t="s">
        <v>285</v>
      </c>
    </row>
    <row r="53" customFormat="false" ht="15" hidden="false" customHeight="false" outlineLevel="0" collapsed="false">
      <c r="A53" s="3" t="s">
        <v>286</v>
      </c>
      <c r="B53" s="13" t="n">
        <f aca="false">IF(B47=0,0,B44/B47)</f>
        <v>0.051092958924888</v>
      </c>
    </row>
    <row r="55" customFormat="false" ht="15" hidden="false" customHeight="false" outlineLevel="0" collapsed="false">
      <c r="A55" s="2" t="s">
        <v>287</v>
      </c>
    </row>
    <row r="56" customFormat="false" ht="15" hidden="false" customHeight="false" outlineLevel="0" collapsed="false">
      <c r="A56" s="3" t="s">
        <v>288</v>
      </c>
      <c r="B56" s="11" t="n">
        <v>1000</v>
      </c>
    </row>
    <row r="57" customFormat="false" ht="15" hidden="false" customHeight="false" outlineLevel="0" collapsed="false">
      <c r="A57" s="16" t="s">
        <v>289</v>
      </c>
      <c r="B57" s="42" t="n">
        <f aca="false">B56*30*B48</f>
        <v>2343.96289665</v>
      </c>
      <c r="C57" s="5" t="s">
        <v>290</v>
      </c>
    </row>
    <row r="58" customFormat="false" ht="15" hidden="false" customHeight="false" outlineLevel="0" collapsed="false">
      <c r="A58" s="3" t="s">
        <v>291</v>
      </c>
      <c r="B58" s="47" t="n">
        <v>1000</v>
      </c>
    </row>
    <row r="59" customFormat="false" ht="15" hidden="false" customHeight="false" outlineLevel="0" collapsed="false">
      <c r="A59" s="3" t="s">
        <v>292</v>
      </c>
      <c r="B59" s="18" t="n">
        <f aca="false">IF(B48=0,"-",ROUNDUP(B58/(30*B48),0))</f>
        <v>427</v>
      </c>
    </row>
    <row r="61" customFormat="false" ht="15" hidden="false" customHeight="false" outlineLevel="0" collapsed="false">
      <c r="A61" s="2" t="s">
        <v>293</v>
      </c>
    </row>
    <row r="62" customFormat="false" ht="15" hidden="false" customHeight="false" outlineLevel="0" collapsed="false">
      <c r="A62" s="48" t="s">
        <v>294</v>
      </c>
      <c r="B62" s="49" t="n">
        <v>0.5</v>
      </c>
      <c r="C62" s="49" t="n">
        <v>0.75</v>
      </c>
      <c r="D62" s="49" t="n">
        <v>1</v>
      </c>
      <c r="E62" s="49" t="n">
        <v>1.5</v>
      </c>
      <c r="F62" s="49" t="n">
        <v>2</v>
      </c>
    </row>
    <row r="63" customFormat="false" ht="15" hidden="false" customHeight="false" outlineLevel="0" collapsed="false">
      <c r="A63" s="8" t="n">
        <v>0.15</v>
      </c>
      <c r="B63" s="50" t="n">
        <f aca="false">B$62*($B$71+($A63/$B$6)*$B$72)/$B$5*1000</f>
        <v>24.2296489665</v>
      </c>
      <c r="C63" s="50" t="n">
        <f aca="false">C$62*($B$71+($A63/$B$6)*$B$72)/$B$5*1000</f>
        <v>36.34447344975</v>
      </c>
      <c r="D63" s="50" t="n">
        <f aca="false">D$62*($B$71+($A63/$B$6)*$B$72)/$B$5*1000</f>
        <v>48.459297933</v>
      </c>
      <c r="E63" s="50" t="n">
        <f aca="false">E$62*($B$71+($A63/$B$6)*$B$72)/$B$5*1000</f>
        <v>72.6889468995</v>
      </c>
      <c r="F63" s="50" t="n">
        <f aca="false">F$62*($B$71+($A63/$B$6)*$B$72)/$B$5*1000</f>
        <v>96.918595866</v>
      </c>
    </row>
    <row r="64" customFormat="false" ht="15" hidden="false" customHeight="false" outlineLevel="0" collapsed="false">
      <c r="A64" s="8" t="n">
        <v>0.2</v>
      </c>
      <c r="B64" s="50" t="n">
        <f aca="false">B$62*($B$71+($A64/$B$6)*$B$72)/$B$5*1000</f>
        <v>31.647848622</v>
      </c>
      <c r="C64" s="50" t="n">
        <f aca="false">C$62*($B$71+($A64/$B$6)*$B$72)/$B$5*1000</f>
        <v>47.471772933</v>
      </c>
      <c r="D64" s="50" t="n">
        <f aca="false">D$62*($B$71+($A64/$B$6)*$B$72)/$B$5*1000</f>
        <v>63.295697244</v>
      </c>
      <c r="E64" s="50" t="n">
        <f aca="false">E$62*($B$71+($A64/$B$6)*$B$72)/$B$5*1000</f>
        <v>94.943545866</v>
      </c>
      <c r="F64" s="50" t="n">
        <f aca="false">F$62*($B$71+($A64/$B$6)*$B$72)/$B$5*1000</f>
        <v>126.591394488</v>
      </c>
    </row>
    <row r="65" customFormat="false" ht="15" hidden="false" customHeight="false" outlineLevel="0" collapsed="false">
      <c r="A65" s="8" t="n">
        <v>0.25</v>
      </c>
      <c r="B65" s="50" t="n">
        <f aca="false">B$62*($B$71+($A65/$B$6)*$B$72)/$B$5*1000</f>
        <v>39.0660482775</v>
      </c>
      <c r="C65" s="50" t="n">
        <f aca="false">C$62*($B$71+($A65/$B$6)*$B$72)/$B$5*1000</f>
        <v>58.59907241625</v>
      </c>
      <c r="D65" s="50" t="n">
        <f aca="false">D$62*($B$71+($A65/$B$6)*$B$72)/$B$5*1000</f>
        <v>78.132096555</v>
      </c>
      <c r="E65" s="50" t="n">
        <f aca="false">E$62*($B$71+($A65/$B$6)*$B$72)/$B$5*1000</f>
        <v>117.1981448325</v>
      </c>
      <c r="F65" s="50" t="n">
        <f aca="false">F$62*($B$71+($A65/$B$6)*$B$72)/$B$5*1000</f>
        <v>156.26419311</v>
      </c>
    </row>
    <row r="66" customFormat="false" ht="15" hidden="false" customHeight="false" outlineLevel="0" collapsed="false">
      <c r="A66" s="8" t="n">
        <v>0.3</v>
      </c>
      <c r="B66" s="50" t="n">
        <f aca="false">B$62*($B$71+($A66/$B$6)*$B$72)/$B$5*1000</f>
        <v>46.484247933</v>
      </c>
      <c r="C66" s="50" t="n">
        <f aca="false">C$62*($B$71+($A66/$B$6)*$B$72)/$B$5*1000</f>
        <v>69.7263718995</v>
      </c>
      <c r="D66" s="50" t="n">
        <f aca="false">D$62*($B$71+($A66/$B$6)*$B$72)/$B$5*1000</f>
        <v>92.968495866</v>
      </c>
      <c r="E66" s="50" t="n">
        <f aca="false">E$62*($B$71+($A66/$B$6)*$B$72)/$B$5*1000</f>
        <v>139.452743799</v>
      </c>
      <c r="F66" s="50" t="n">
        <f aca="false">F$62*($B$71+($A66/$B$6)*$B$72)/$B$5*1000</f>
        <v>185.936991732</v>
      </c>
    </row>
    <row r="67" customFormat="false" ht="15" hidden="false" customHeight="false" outlineLevel="0" collapsed="false">
      <c r="A67" s="8" t="n">
        <v>0.35</v>
      </c>
      <c r="B67" s="50" t="n">
        <f aca="false">B$62*($B$71+($A67/$B$6)*$B$72)/$B$5*1000</f>
        <v>53.9024475885</v>
      </c>
      <c r="C67" s="50" t="n">
        <f aca="false">C$62*($B$71+($A67/$B$6)*$B$72)/$B$5*1000</f>
        <v>80.85367138275</v>
      </c>
      <c r="D67" s="50" t="n">
        <f aca="false">D$62*($B$71+($A67/$B$6)*$B$72)/$B$5*1000</f>
        <v>107.804895177</v>
      </c>
      <c r="E67" s="50" t="n">
        <f aca="false">E$62*($B$71+($A67/$B$6)*$B$72)/$B$5*1000</f>
        <v>161.7073427655</v>
      </c>
      <c r="F67" s="50" t="n">
        <f aca="false">F$62*($B$71+($A67/$B$6)*$B$72)/$B$5*1000</f>
        <v>215.609790354</v>
      </c>
    </row>
    <row r="68" customFormat="false" ht="15" hidden="false" customHeight="false" outlineLevel="0" collapsed="false">
      <c r="A68" s="5" t="s">
        <v>295</v>
      </c>
    </row>
    <row r="70" customFormat="false" ht="15" hidden="false" customHeight="false" outlineLevel="0" collapsed="false">
      <c r="A70" s="16" t="s">
        <v>296</v>
      </c>
    </row>
    <row r="71" customFormat="false" ht="15" hidden="false" customHeight="false" outlineLevel="0" collapsed="false">
      <c r="A71" s="3" t="s">
        <v>297</v>
      </c>
      <c r="B71" s="45" t="n">
        <f aca="false">SUMIFS($N$18:$N$34,$E$18:$E$34,"New")</f>
        <v>3.9501</v>
      </c>
    </row>
    <row r="72" customFormat="false" ht="15" hidden="false" customHeight="false" outlineLevel="0" collapsed="false">
      <c r="A72" s="3" t="s">
        <v>298</v>
      </c>
      <c r="B72" s="45" t="n">
        <f aca="false">B47-B71</f>
        <v>74.181996555</v>
      </c>
    </row>
  </sheetData>
  <conditionalFormatting sqref="B9">
    <cfRule type="expression" priority="2" aboveAverage="0" equalAverage="0" bottom="0" percent="0" rank="0" text="" dxfId="0">
      <formula>LEFT(B9,2)="OK"</formula>
    </cfRule>
    <cfRule type="expression" priority="3" aboveAverage="0" equalAverage="0" bottom="0" percent="0" rank="0" text="" dxfId="1">
      <formula>AND(B9&lt;&gt;"",LEFT(B9,2)&lt;&gt;"OK")</formula>
    </cfRule>
  </conditionalFormatting>
  <conditionalFormatting sqref="B63:F6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false" errorStyle="stop" operator="between" showDropDown="false" showErrorMessage="false" showInputMessage="false" sqref="E18:E34 B39" type="list">
      <formula1>"New,Day 1,Day 7,Day 30"</formula1>
      <formula2>0</formula2>
    </dataValidation>
    <dataValidation allowBlank="false" errorStyle="stop" operator="between" showDropDown="false" showErrorMessage="false" showInputMessage="false" sqref="C18:C3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28" min="15" style="0" width="8"/>
  </cols>
  <sheetData>
    <row r="1" customFormat="false" ht="17.35" hidden="false" customHeight="false" outlineLevel="0" collapsed="false">
      <c r="A1" s="4" t="s">
        <v>299</v>
      </c>
    </row>
    <row r="2" customFormat="false" ht="15" hidden="false" customHeight="false" outlineLevel="0" collapsed="false">
      <c r="A2" s="5" t="s">
        <v>300</v>
      </c>
    </row>
    <row r="4" customFormat="false" ht="15" hidden="false" customHeight="false" outlineLevel="0" collapsed="false">
      <c r="A4" s="2" t="s">
        <v>301</v>
      </c>
    </row>
    <row r="5" customFormat="false" ht="15" hidden="false" customHeight="false" outlineLevel="0" collapsed="false">
      <c r="A5" s="3" t="s">
        <v>302</v>
      </c>
      <c r="B5" s="11" t="n">
        <v>1500</v>
      </c>
    </row>
    <row r="6" customFormat="false" ht="15" hidden="false" customHeight="false" outlineLevel="0" collapsed="false">
      <c r="A6" s="3" t="s">
        <v>303</v>
      </c>
      <c r="B6" s="12" t="n">
        <v>0.03</v>
      </c>
      <c r="C6" s="5" t="s">
        <v>304</v>
      </c>
    </row>
    <row r="7" customFormat="false" ht="15" hidden="false" customHeight="false" outlineLevel="0" collapsed="false">
      <c r="A7" s="3" t="s">
        <v>305</v>
      </c>
      <c r="B7" s="51" t="n">
        <v>5</v>
      </c>
      <c r="C7" s="5" t="s">
        <v>306</v>
      </c>
    </row>
    <row r="8" customFormat="false" ht="15" hidden="false" customHeight="false" outlineLevel="0" collapsed="false">
      <c r="A8" s="3" t="s">
        <v>307</v>
      </c>
      <c r="B8" s="11" t="n">
        <v>300</v>
      </c>
      <c r="C8" s="5" t="s">
        <v>308</v>
      </c>
    </row>
    <row r="9" customFormat="false" ht="15" hidden="false" customHeight="false" outlineLevel="0" collapsed="false">
      <c r="A9" s="3" t="s">
        <v>309</v>
      </c>
      <c r="B9" s="52" t="n">
        <v>0</v>
      </c>
    </row>
    <row r="10" customFormat="false" ht="15" hidden="false" customHeight="false" outlineLevel="0" collapsed="false">
      <c r="A10" s="3" t="s">
        <v>310</v>
      </c>
      <c r="B10" s="53" t="n">
        <v>0.3</v>
      </c>
      <c r="C10" s="5" t="s">
        <v>311</v>
      </c>
    </row>
    <row r="11" customFormat="false" ht="15" hidden="false" customHeight="false" outlineLevel="0" collapsed="false">
      <c r="A11" s="3" t="s">
        <v>312</v>
      </c>
      <c r="B11" s="26" t="n">
        <f aca="false">MAX(1,ROUND(Inputs!$B$10/7,0))</f>
        <v>3</v>
      </c>
      <c r="C11" s="5" t="s">
        <v>313</v>
      </c>
    </row>
    <row r="12" customFormat="false" ht="15" hidden="false" customHeight="false" outlineLevel="0" collapsed="false">
      <c r="A12" s="3" t="s">
        <v>314</v>
      </c>
      <c r="B12" s="54" t="n">
        <v>1.5</v>
      </c>
    </row>
    <row r="13" customFormat="false" ht="15" hidden="false" customHeight="false" outlineLevel="0" collapsed="false">
      <c r="A13" s="3" t="s">
        <v>315</v>
      </c>
      <c r="B13" s="12" t="n">
        <v>0.05</v>
      </c>
    </row>
    <row r="14" customFormat="false" ht="15" hidden="false" customHeight="false" outlineLevel="0" collapsed="false">
      <c r="A14" s="3" t="s">
        <v>316</v>
      </c>
      <c r="B14" s="51" t="n">
        <v>3</v>
      </c>
    </row>
    <row r="16" customFormat="false" ht="15" hidden="false" customHeight="false" outlineLevel="0" collapsed="false">
      <c r="A16" s="2" t="s">
        <v>317</v>
      </c>
    </row>
    <row r="17" customFormat="false" ht="15" hidden="false" customHeight="false" outlineLevel="0" collapsed="false">
      <c r="A17" s="3" t="s">
        <v>225</v>
      </c>
      <c r="B17" s="55" t="n">
        <f aca="false">Revenue!$B$6</f>
        <v>0.25</v>
      </c>
    </row>
    <row r="18" customFormat="false" ht="15" hidden="false" customHeight="false" outlineLevel="0" collapsed="false">
      <c r="A18" s="3" t="s">
        <v>226</v>
      </c>
      <c r="B18" s="55" t="n">
        <f aca="false">Revenue!$B$7</f>
        <v>0.08</v>
      </c>
    </row>
    <row r="19" customFormat="false" ht="15" hidden="false" customHeight="false" outlineLevel="0" collapsed="false">
      <c r="A19" s="3" t="s">
        <v>227</v>
      </c>
      <c r="B19" s="55" t="n">
        <f aca="false">Revenue!$B$8</f>
        <v>0.03</v>
      </c>
    </row>
    <row r="20" customFormat="false" ht="15" hidden="false" customHeight="false" outlineLevel="0" collapsed="false">
      <c r="A20" s="3" t="s">
        <v>318</v>
      </c>
      <c r="B20" s="56" t="n">
        <f aca="false">LN(B18/B17)/LN(7)</f>
        <v>-0.585553389369766</v>
      </c>
    </row>
    <row r="21" customFormat="false" ht="15" hidden="false" customHeight="false" outlineLevel="0" collapsed="false">
      <c r="A21" s="3" t="s">
        <v>319</v>
      </c>
      <c r="B21" s="56" t="n">
        <f aca="false">LN(B19/B18)/LN(30/7)</f>
        <v>-0.67397640207066</v>
      </c>
      <c r="C21" s="5" t="s">
        <v>320</v>
      </c>
    </row>
    <row r="22" customFormat="false" ht="15" hidden="false" customHeight="false" outlineLevel="0" collapsed="false">
      <c r="A22" s="3" t="s">
        <v>321</v>
      </c>
      <c r="B22" s="29" t="n">
        <f aca="false">7*SUM(B44:B47)+2*B48</f>
        <v>2.89503919055585</v>
      </c>
    </row>
    <row r="24" customFormat="false" ht="15" hidden="false" customHeight="false" outlineLevel="0" collapsed="false">
      <c r="A24" s="2" t="s">
        <v>322</v>
      </c>
    </row>
    <row r="25" customFormat="false" ht="15" hidden="false" customHeight="false" outlineLevel="0" collapsed="false">
      <c r="A25" s="3" t="s">
        <v>323</v>
      </c>
      <c r="B25" s="57" t="n">
        <f aca="false">Revenue!$B$48</f>
        <v>0.078132096555</v>
      </c>
    </row>
    <row r="26" customFormat="false" ht="15" hidden="false" customHeight="false" outlineLevel="0" collapsed="false">
      <c r="A26" s="3" t="s">
        <v>324</v>
      </c>
      <c r="B26" s="58" t="n">
        <f aca="false">B25/B22</f>
        <v>0.0269882690396321</v>
      </c>
      <c r="C26" s="5" t="s">
        <v>325</v>
      </c>
    </row>
    <row r="27" customFormat="false" ht="15" hidden="false" customHeight="false" outlineLevel="0" collapsed="false">
      <c r="A27" s="3" t="s">
        <v>326</v>
      </c>
      <c r="B27" s="54" t="n">
        <v>1</v>
      </c>
      <c r="C27" s="5" t="s">
        <v>327</v>
      </c>
    </row>
    <row r="28" customFormat="false" ht="15" hidden="false" customHeight="false" outlineLevel="0" collapsed="false">
      <c r="A28" s="3" t="s">
        <v>328</v>
      </c>
      <c r="B28" s="12" t="n">
        <v>0.1</v>
      </c>
      <c r="C28" s="5" t="s">
        <v>329</v>
      </c>
    </row>
    <row r="29" customFormat="false" ht="15" hidden="false" customHeight="false" outlineLevel="0" collapsed="false">
      <c r="A29" s="3" t="s">
        <v>330</v>
      </c>
      <c r="B29" s="12" t="n">
        <v>0.6</v>
      </c>
      <c r="C29" s="5" t="s">
        <v>331</v>
      </c>
    </row>
    <row r="30" customFormat="false" ht="15" hidden="false" customHeight="false" outlineLevel="0" collapsed="false">
      <c r="A30" s="3" t="s">
        <v>332</v>
      </c>
      <c r="B30" s="10" t="n">
        <v>5</v>
      </c>
      <c r="C30" s="5" t="s">
        <v>333</v>
      </c>
    </row>
    <row r="31" customFormat="false" ht="15" hidden="false" customHeight="false" outlineLevel="0" collapsed="false">
      <c r="A31" s="3" t="s">
        <v>334</v>
      </c>
      <c r="B31" s="12" t="n">
        <v>0.1</v>
      </c>
      <c r="C31" s="5" t="s">
        <v>335</v>
      </c>
    </row>
    <row r="32" customFormat="false" ht="15" hidden="false" customHeight="false" outlineLevel="0" collapsed="false">
      <c r="A32" s="3" t="s">
        <v>336</v>
      </c>
      <c r="B32" s="53" t="n">
        <v>3</v>
      </c>
      <c r="C32" s="5" t="s">
        <v>337</v>
      </c>
    </row>
    <row r="33" customFormat="false" ht="15" hidden="false" customHeight="false" outlineLevel="0" collapsed="false">
      <c r="A33" s="3" t="s">
        <v>338</v>
      </c>
      <c r="B33" s="8" t="n">
        <v>0.35</v>
      </c>
      <c r="C33" s="5" t="s">
        <v>339</v>
      </c>
    </row>
    <row r="34" customFormat="false" ht="15" hidden="false" customHeight="false" outlineLevel="0" collapsed="false">
      <c r="A34" s="3" t="s">
        <v>340</v>
      </c>
      <c r="B34" s="58" t="n">
        <f aca="false">B28*B29*B30*Inputs!$B$5</f>
        <v>0.00114</v>
      </c>
    </row>
    <row r="36" customFormat="false" ht="15" hidden="false" customHeight="false" outlineLevel="0" collapsed="false">
      <c r="A36" s="2" t="s">
        <v>277</v>
      </c>
    </row>
    <row r="37" customFormat="false" ht="15" hidden="false" customHeight="false" outlineLevel="0" collapsed="false">
      <c r="A37" s="16" t="s">
        <v>341</v>
      </c>
      <c r="B37" s="41" t="n">
        <f aca="false">I98</f>
        <v>2547.3154836906</v>
      </c>
    </row>
    <row r="38" customFormat="false" ht="15" hidden="false" customHeight="false" outlineLevel="0" collapsed="false">
      <c r="A38" s="16" t="s">
        <v>342</v>
      </c>
      <c r="B38" s="59" t="n">
        <f aca="false">J99+K99</f>
        <v>10394.5284131255</v>
      </c>
    </row>
    <row r="39" customFormat="false" ht="15" hidden="false" customHeight="false" outlineLevel="0" collapsed="false">
      <c r="A39" s="3" t="s">
        <v>343</v>
      </c>
      <c r="B39" s="60" t="n">
        <f aca="false">B26*7*(SUM(B44:B48)+B27*SUM(B49:B69))+B34*7*SUM(B44:B69)</f>
        <v>0.143900945250828</v>
      </c>
    </row>
    <row r="40" customFormat="false" ht="15" hidden="false" customHeight="false" outlineLevel="0" collapsed="false">
      <c r="A40" s="3" t="s">
        <v>344</v>
      </c>
      <c r="B40" s="3" t="str">
        <f aca="false">IF(B10&lt;=0,"-",IF(B39&gt;=B10,"OK: an ad player earns back their cost","No: an ad player costs more than they earn"))</f>
        <v>No: an ad player costs more than they earn</v>
      </c>
    </row>
    <row r="41" customFormat="false" ht="15" hidden="false" customHeight="false" outlineLevel="0" collapsed="false">
      <c r="A41" s="3" t="s">
        <v>345</v>
      </c>
      <c r="B41" s="13" t="n">
        <f aca="false">IF(B38=0,0,K99/B38)</f>
        <v>0.12775725053831</v>
      </c>
    </row>
    <row r="43" customFormat="false" ht="30" hidden="false" customHeight="true" outlineLevel="0" collapsed="false">
      <c r="A43" s="6" t="s">
        <v>346</v>
      </c>
      <c r="B43" s="6" t="s">
        <v>347</v>
      </c>
    </row>
    <row r="44" customFormat="false" ht="15" hidden="false" customHeight="false" outlineLevel="0" collapsed="false">
      <c r="A44" s="18" t="n">
        <v>0</v>
      </c>
      <c r="B44" s="35" t="n">
        <f aca="false">(1+$B$17*(1^$B$20+2^$B$20+3^$B$20+4^$B$20+5^$B$20+6^$B$20))/7</f>
        <v>0.263426654487489</v>
      </c>
      <c r="C44" s="5" t="s">
        <v>348</v>
      </c>
    </row>
    <row r="45" customFormat="false" ht="15" hidden="false" customHeight="false" outlineLevel="0" collapsed="false">
      <c r="A45" s="18" t="n">
        <v>1</v>
      </c>
      <c r="B45" s="35" t="n">
        <f aca="false">$B$18*((7*A45+3)/7)^$B$21</f>
        <v>0.062905659716263</v>
      </c>
    </row>
    <row r="46" customFormat="false" ht="15" hidden="false" customHeight="false" outlineLevel="0" collapsed="false">
      <c r="A46" s="18" t="n">
        <v>2</v>
      </c>
      <c r="B46" s="35" t="n">
        <f aca="false">$B$18*((7*A46+3)/7)^$B$21</f>
        <v>0.0439918865252397</v>
      </c>
    </row>
    <row r="47" customFormat="false" ht="15" hidden="false" customHeight="false" outlineLevel="0" collapsed="false">
      <c r="A47" s="18" t="n">
        <v>3</v>
      </c>
      <c r="B47" s="35" t="n">
        <f aca="false">$B$18*((7*A47+3)/7)^$B$21</f>
        <v>0.0348687450106475</v>
      </c>
    </row>
    <row r="48" customFormat="false" ht="15" hidden="false" customHeight="false" outlineLevel="0" collapsed="false">
      <c r="A48" s="18" t="n">
        <v>4</v>
      </c>
      <c r="B48" s="35" t="n">
        <f aca="false">$B$18*((7*A48+3)/7)^$B$21</f>
        <v>0.0293442851891877</v>
      </c>
    </row>
    <row r="49" customFormat="false" ht="15" hidden="false" customHeight="false" outlineLevel="0" collapsed="false">
      <c r="A49" s="18" t="n">
        <v>5</v>
      </c>
      <c r="B49" s="35" t="n">
        <f aca="false">$B$18*((7*A49+3)/7)^$B$21</f>
        <v>0.0255816915943574</v>
      </c>
    </row>
    <row r="50" customFormat="false" ht="15" hidden="false" customHeight="false" outlineLevel="0" collapsed="false">
      <c r="A50" s="18" t="n">
        <v>6</v>
      </c>
      <c r="B50" s="35" t="n">
        <f aca="false">$B$18*((7*A50+3)/7)^$B$21</f>
        <v>0.0228265302496378</v>
      </c>
    </row>
    <row r="51" customFormat="false" ht="15" hidden="false" customHeight="false" outlineLevel="0" collapsed="false">
      <c r="A51" s="18" t="n">
        <v>7</v>
      </c>
      <c r="B51" s="35" t="n">
        <f aca="false">$B$18*((7*A51+3)/7)^$B$21</f>
        <v>0.0207071516415456</v>
      </c>
    </row>
    <row r="52" customFormat="false" ht="15" hidden="false" customHeight="false" outlineLevel="0" collapsed="false">
      <c r="A52" s="18" t="n">
        <v>8</v>
      </c>
      <c r="B52" s="35" t="n">
        <f aca="false">$B$18*((7*A52+3)/7)^$B$21</f>
        <v>0.0190175101181813</v>
      </c>
    </row>
    <row r="53" customFormat="false" ht="15" hidden="false" customHeight="false" outlineLevel="0" collapsed="false">
      <c r="A53" s="18" t="n">
        <v>9</v>
      </c>
      <c r="B53" s="35" t="n">
        <f aca="false">$B$18*((7*A53+3)/7)^$B$21</f>
        <v>0.0176334157965425</v>
      </c>
    </row>
    <row r="54" customFormat="false" ht="15" hidden="false" customHeight="false" outlineLevel="0" collapsed="false">
      <c r="A54" s="18" t="n">
        <v>10</v>
      </c>
      <c r="B54" s="35" t="n">
        <f aca="false">$B$18*((7*A54+3)/7)^$B$21</f>
        <v>0.0164751920654027</v>
      </c>
    </row>
    <row r="55" customFormat="false" ht="15" hidden="false" customHeight="false" outlineLevel="0" collapsed="false">
      <c r="A55" s="18" t="n">
        <v>11</v>
      </c>
      <c r="B55" s="35" t="n">
        <f aca="false">$B$18*((7*A55+3)/7)^$B$21</f>
        <v>0.0154891783739935</v>
      </c>
    </row>
    <row r="56" customFormat="false" ht="15" hidden="false" customHeight="false" outlineLevel="0" collapsed="false">
      <c r="A56" s="18" t="n">
        <v>12</v>
      </c>
      <c r="B56" s="35" t="n">
        <f aca="false">$B$18*((7*A56+3)/7)^$B$21</f>
        <v>0.0146378035991578</v>
      </c>
    </row>
    <row r="57" customFormat="false" ht="15" hidden="false" customHeight="false" outlineLevel="0" collapsed="false">
      <c r="A57" s="18" t="n">
        <v>13</v>
      </c>
      <c r="B57" s="35" t="n">
        <f aca="false">$B$18*((7*A57+3)/7)^$B$21</f>
        <v>0.0138939109746961</v>
      </c>
    </row>
    <row r="58" customFormat="false" ht="15" hidden="false" customHeight="false" outlineLevel="0" collapsed="false">
      <c r="A58" s="18" t="n">
        <v>14</v>
      </c>
      <c r="B58" s="35" t="n">
        <f aca="false">$B$18*((7*A58+3)/7)^$B$21</f>
        <v>0.0132373427883631</v>
      </c>
    </row>
    <row r="59" customFormat="false" ht="15" hidden="false" customHeight="false" outlineLevel="0" collapsed="false">
      <c r="A59" s="18" t="n">
        <v>15</v>
      </c>
      <c r="B59" s="35" t="n">
        <f aca="false">$B$18*((7*A59+3)/7)^$B$21</f>
        <v>0.0126527957316165</v>
      </c>
    </row>
    <row r="60" customFormat="false" ht="15" hidden="false" customHeight="false" outlineLevel="0" collapsed="false">
      <c r="A60" s="18" t="n">
        <v>16</v>
      </c>
      <c r="B60" s="35" t="n">
        <f aca="false">$B$18*((7*A60+3)/7)^$B$21</f>
        <v>0.0121284250070491</v>
      </c>
    </row>
    <row r="61" customFormat="false" ht="15" hidden="false" customHeight="false" outlineLevel="0" collapsed="false">
      <c r="A61" s="18" t="n">
        <v>17</v>
      </c>
      <c r="B61" s="35" t="n">
        <f aca="false">$B$18*((7*A61+3)/7)^$B$21</f>
        <v>0.0116549075062659</v>
      </c>
    </row>
    <row r="62" customFormat="false" ht="15" hidden="false" customHeight="false" outlineLevel="0" collapsed="false">
      <c r="A62" s="18" t="n">
        <v>18</v>
      </c>
      <c r="B62" s="35" t="n">
        <f aca="false">$B$18*((7*A62+3)/7)^$B$21</f>
        <v>0.0112247961898464</v>
      </c>
    </row>
    <row r="63" customFormat="false" ht="15" hidden="false" customHeight="false" outlineLevel="0" collapsed="false">
      <c r="A63" s="18" t="n">
        <v>19</v>
      </c>
      <c r="B63" s="35" t="n">
        <f aca="false">$B$18*((7*A63+3)/7)^$B$21</f>
        <v>0.010832064721543</v>
      </c>
    </row>
    <row r="64" customFormat="false" ht="15" hidden="false" customHeight="false" outlineLevel="0" collapsed="false">
      <c r="A64" s="18" t="n">
        <v>20</v>
      </c>
      <c r="B64" s="35" t="n">
        <f aca="false">$B$18*((7*A64+3)/7)^$B$21</f>
        <v>0.0104717796624436</v>
      </c>
    </row>
    <row r="65" customFormat="false" ht="15" hidden="false" customHeight="false" outlineLevel="0" collapsed="false">
      <c r="A65" s="18" t="n">
        <v>21</v>
      </c>
      <c r="B65" s="35" t="n">
        <f aca="false">$B$18*((7*A65+3)/7)^$B$21</f>
        <v>0.0101398601695597</v>
      </c>
    </row>
    <row r="66" customFormat="false" ht="15" hidden="false" customHeight="false" outlineLevel="0" collapsed="false">
      <c r="A66" s="18" t="n">
        <v>22</v>
      </c>
      <c r="B66" s="35" t="n">
        <f aca="false">$B$18*((7*A66+3)/7)^$B$21</f>
        <v>0.00983289895676285</v>
      </c>
    </row>
    <row r="67" customFormat="false" ht="15" hidden="false" customHeight="false" outlineLevel="0" collapsed="false">
      <c r="A67" s="18" t="n">
        <v>23</v>
      </c>
      <c r="B67" s="35" t="n">
        <f aca="false">$B$18*((7*A67+3)/7)^$B$21</f>
        <v>0.00954802693632548</v>
      </c>
    </row>
    <row r="68" customFormat="false" ht="15" hidden="false" customHeight="false" outlineLevel="0" collapsed="false">
      <c r="A68" s="18" t="n">
        <v>24</v>
      </c>
      <c r="B68" s="35" t="n">
        <f aca="false">$B$18*((7*A68+3)/7)^$B$21</f>
        <v>0.0092828095222176</v>
      </c>
    </row>
    <row r="69" customFormat="false" ht="15" hidden="false" customHeight="false" outlineLevel="0" collapsed="false">
      <c r="A69" s="18" t="n">
        <v>25</v>
      </c>
      <c r="B69" s="35" t="n">
        <f aca="false">$B$18*((7*A69+3)/7)^$B$21</f>
        <v>0.00903516622843477</v>
      </c>
    </row>
    <row r="71" customFormat="false" ht="15" hidden="false" customHeight="false" outlineLevel="0" collapsed="false">
      <c r="A71" s="2" t="s">
        <v>349</v>
      </c>
    </row>
    <row r="72" customFormat="false" ht="42" hidden="false" customHeight="true" outlineLevel="0" collapsed="false">
      <c r="A72" s="6" t="s">
        <v>350</v>
      </c>
      <c r="B72" s="6" t="s">
        <v>351</v>
      </c>
      <c r="C72" s="6" t="s">
        <v>352</v>
      </c>
      <c r="D72" s="6" t="s">
        <v>353</v>
      </c>
      <c r="E72" s="6" t="s">
        <v>354</v>
      </c>
      <c r="F72" s="6" t="s">
        <v>355</v>
      </c>
      <c r="G72" s="6" t="s">
        <v>356</v>
      </c>
      <c r="H72" s="6" t="s">
        <v>357</v>
      </c>
      <c r="I72" s="6" t="s">
        <v>358</v>
      </c>
      <c r="J72" s="6" t="s">
        <v>359</v>
      </c>
      <c r="K72" s="6" t="s">
        <v>360</v>
      </c>
      <c r="L72" s="6" t="s">
        <v>361</v>
      </c>
      <c r="M72" s="6" t="s">
        <v>362</v>
      </c>
      <c r="N72" s="6" t="s">
        <v>363</v>
      </c>
    </row>
    <row r="73" customFormat="false" ht="15" hidden="false" customHeight="false" outlineLevel="0" collapsed="false">
      <c r="A73" s="18" t="n">
        <v>1</v>
      </c>
      <c r="B73" s="3" t="str">
        <f aca="false">IF(AND(A73&gt;1,MOD(A73-1,$B$11)=0),"Yes","")</f>
        <v/>
      </c>
      <c r="C73" s="18" t="n">
        <f aca="false">$B$5*(1+$B$6)^(A73-1)*IF(B73="Yes",$B$12,1)</f>
        <v>1500</v>
      </c>
      <c r="D73" s="18" t="n">
        <v>0</v>
      </c>
      <c r="E73" s="18" t="n">
        <f aca="false">$B$8*IF(B73="Yes",$B$12,1)</f>
        <v>300</v>
      </c>
      <c r="F73" s="18" t="n">
        <f aca="false">IF($B$10&lt;=0,0,$B$9/$B$10)</f>
        <v>0</v>
      </c>
      <c r="G73" s="18" t="n">
        <f aca="false">SUM(C73:F73)</f>
        <v>1800</v>
      </c>
      <c r="H73" s="18" t="n">
        <v>0</v>
      </c>
      <c r="I73" s="18" t="n">
        <f aca="false">SUM(C$103:C$128)+H73*$B$14/7</f>
        <v>474.167978077481</v>
      </c>
      <c r="J73" s="45" t="n">
        <f aca="false">$B$26*7*SUMPRODUCT(C$103:C$128,1+($B$27-1)*((A73-$A$103:$A$128)&gt;=5))+H73*$B$14*$B$26</f>
        <v>89.5788107363339</v>
      </c>
      <c r="K73" s="45" t="n">
        <f aca="false">I73*7*$B$34+E73*$B$31*MIN($B$32,100)*$B$33</f>
        <v>35.2838604650583</v>
      </c>
      <c r="L73" s="45" t="n">
        <f aca="false">$B$9</f>
        <v>0</v>
      </c>
      <c r="M73" s="45" t="n">
        <f aca="false">J73+K73-L73</f>
        <v>124.862671201392</v>
      </c>
      <c r="N73" s="45" t="n">
        <f aca="false">M73</f>
        <v>124.862671201392</v>
      </c>
    </row>
    <row r="74" customFormat="false" ht="15" hidden="false" customHeight="false" outlineLevel="0" collapsed="false">
      <c r="A74" s="18" t="n">
        <v>2</v>
      </c>
      <c r="B74" s="3" t="str">
        <f aca="false">IF(AND(A74&gt;1,MOD(A74-1,$B$11)=0),"Yes","")</f>
        <v/>
      </c>
      <c r="C74" s="18" t="n">
        <f aca="false">$B$5*(1+$B$6)^(A74-1)*IF(B74="Yes",$B$12,1)</f>
        <v>1545</v>
      </c>
      <c r="D74" s="18" t="n">
        <f aca="false">I73/100*$B$7</f>
        <v>23.7083989038741</v>
      </c>
      <c r="E74" s="18" t="n">
        <f aca="false">$B$8*IF(B74="Yes",$B$12,1)</f>
        <v>300</v>
      </c>
      <c r="F74" s="18" t="n">
        <f aca="false">IF($B$10&lt;=0,0,$B$9/$B$10)</f>
        <v>0</v>
      </c>
      <c r="G74" s="18" t="n">
        <f aca="false">SUM(C74:F74)</f>
        <v>1868.70839890387</v>
      </c>
      <c r="H74" s="18" t="n">
        <f aca="false">IF(B74="Yes",MAX(0,SUM(G$73:G73)-I73)*$B$13,0)</f>
        <v>0</v>
      </c>
      <c r="I74" s="18" t="n">
        <f aca="false">SUM(D$103:D$128)+H74*$B$14/7</f>
        <v>605.497789225194</v>
      </c>
      <c r="J74" s="45" t="n">
        <f aca="false">$B$26*7*SUMPRODUCT(D$103:D$128,1+($B$27-1)*((A74-$A$103:$A$128)&gt;=5))+H74*$B$14*$B$26</f>
        <v>114.389360669584</v>
      </c>
      <c r="K74" s="45" t="n">
        <f aca="false">I74*7*$B$34+E74*$B$31*MIN($B$32,100)*$B$33</f>
        <v>36.331872358017</v>
      </c>
      <c r="L74" s="45" t="n">
        <f aca="false">$B$9</f>
        <v>0</v>
      </c>
      <c r="M74" s="45" t="n">
        <f aca="false">J74+K74-L74</f>
        <v>150.721233027601</v>
      </c>
      <c r="N74" s="45" t="n">
        <f aca="false">N73+M74</f>
        <v>275.583904228993</v>
      </c>
    </row>
    <row r="75" customFormat="false" ht="15" hidden="false" customHeight="false" outlineLevel="0" collapsed="false">
      <c r="A75" s="18" t="n">
        <v>3</v>
      </c>
      <c r="B75" s="3" t="str">
        <f aca="false">IF(AND(A75&gt;1,MOD(A75-1,$B$11)=0),"Yes","")</f>
        <v/>
      </c>
      <c r="C75" s="18" t="n">
        <f aca="false">$B$5*(1+$B$6)^(A75-1)*IF(B75="Yes",$B$12,1)</f>
        <v>1591.35</v>
      </c>
      <c r="D75" s="18" t="n">
        <f aca="false">I74/100*$B$7</f>
        <v>30.2748894612597</v>
      </c>
      <c r="E75" s="18" t="n">
        <f aca="false">$B$8*IF(B75="Yes",$B$12,1)</f>
        <v>300</v>
      </c>
      <c r="F75" s="18" t="n">
        <f aca="false">IF($B$10&lt;=0,0,$B$9/$B$10)</f>
        <v>0</v>
      </c>
      <c r="G75" s="18" t="n">
        <f aca="false">SUM(C75:F75)</f>
        <v>1921.62488946126</v>
      </c>
      <c r="H75" s="18" t="n">
        <f aca="false">IF(B75="Yes",MAX(0,SUM(G$73:G74)-I74)*$B$13,0)</f>
        <v>0</v>
      </c>
      <c r="I75" s="18" t="n">
        <f aca="false">SUM(E$103:E$128)+H75*$B$14/7</f>
        <v>702.944946206472</v>
      </c>
      <c r="J75" s="45" t="n">
        <f aca="false">$B$26*7*SUMPRODUCT(E$103:E$128,1+($B$27-1)*((A75-$A$103:$A$128)&gt;=5))+H75*$B$14*$B$26</f>
        <v>132.79887129789</v>
      </c>
      <c r="K75" s="45" t="n">
        <f aca="false">I75*7*$B$34+E75*$B$31*MIN($B$32,100)*$B$33</f>
        <v>37.1095006707277</v>
      </c>
      <c r="L75" s="45" t="n">
        <f aca="false">$B$9</f>
        <v>0</v>
      </c>
      <c r="M75" s="45" t="n">
        <f aca="false">J75+K75-L75</f>
        <v>169.908371968617</v>
      </c>
      <c r="N75" s="45" t="n">
        <f aca="false">N74+M75</f>
        <v>445.49227619761</v>
      </c>
    </row>
    <row r="76" customFormat="false" ht="15" hidden="false" customHeight="false" outlineLevel="0" collapsed="false">
      <c r="A76" s="18" t="n">
        <v>4</v>
      </c>
      <c r="B76" s="3" t="str">
        <f aca="false">IF(AND(A76&gt;1,MOD(A76-1,$B$11)=0),"Yes","")</f>
        <v>Yes</v>
      </c>
      <c r="C76" s="18" t="n">
        <f aca="false">$B$5*(1+$B$6)^(A76-1)*IF(B76="Yes",$B$12,1)</f>
        <v>2458.63575</v>
      </c>
      <c r="D76" s="18" t="n">
        <f aca="false">I75/100*$B$7</f>
        <v>35.1472473103236</v>
      </c>
      <c r="E76" s="18" t="n">
        <f aca="false">$B$8*IF(B76="Yes",$B$12,1)</f>
        <v>450</v>
      </c>
      <c r="F76" s="18" t="n">
        <f aca="false">IF($B$10&lt;=0,0,$B$9/$B$10)</f>
        <v>0</v>
      </c>
      <c r="G76" s="18" t="n">
        <f aca="false">SUM(C76:F76)</f>
        <v>2943.78299731032</v>
      </c>
      <c r="H76" s="18" t="n">
        <f aca="false">IF(B76="Yes",MAX(0,SUM(G$73:G75)-I75)*$B$13,0)</f>
        <v>244.369417107933</v>
      </c>
      <c r="I76" s="18" t="n">
        <f aca="false">SUM(F$103:F$128)+H76*$B$14/7</f>
        <v>1146.05348695899</v>
      </c>
      <c r="J76" s="45" t="n">
        <f aca="false">$B$26*7*SUMPRODUCT(F$103:F$128,1+($B$27-1)*((A76-$A$103:$A$128)&gt;=5))+H76*$B$14*$B$26</f>
        <v>216.509998879003</v>
      </c>
      <c r="K76" s="45" t="n">
        <f aca="false">I76*7*$B$34+E76*$B$31*MIN($B$32,100)*$B$33</f>
        <v>56.3955068259327</v>
      </c>
      <c r="L76" s="45" t="n">
        <f aca="false">$B$9</f>
        <v>0</v>
      </c>
      <c r="M76" s="45" t="n">
        <f aca="false">J76+K76-L76</f>
        <v>272.905505704936</v>
      </c>
      <c r="N76" s="45" t="n">
        <f aca="false">N75+M76</f>
        <v>718.397781902546</v>
      </c>
    </row>
    <row r="77" customFormat="false" ht="15" hidden="false" customHeight="false" outlineLevel="0" collapsed="false">
      <c r="A77" s="18" t="n">
        <v>5</v>
      </c>
      <c r="B77" s="3" t="str">
        <f aca="false">IF(AND(A77&gt;1,MOD(A77-1,$B$11)=0),"Yes","")</f>
        <v/>
      </c>
      <c r="C77" s="18" t="n">
        <f aca="false">$B$5*(1+$B$6)^(A77-1)*IF(B77="Yes",$B$12,1)</f>
        <v>1688.263215</v>
      </c>
      <c r="D77" s="18" t="n">
        <f aca="false">I76/100*$B$7</f>
        <v>57.3026743479493</v>
      </c>
      <c r="E77" s="18" t="n">
        <f aca="false">$B$8*IF(B77="Yes",$B$12,1)</f>
        <v>300</v>
      </c>
      <c r="F77" s="18" t="n">
        <f aca="false">IF($B$10&lt;=0,0,$B$9/$B$10)</f>
        <v>0</v>
      </c>
      <c r="G77" s="18" t="n">
        <f aca="false">SUM(C77:F77)</f>
        <v>2045.56588934795</v>
      </c>
      <c r="H77" s="18" t="n">
        <f aca="false">IF(B77="Yes",MAX(0,SUM(G$73:G76)-I76)*$B$13,0)</f>
        <v>0</v>
      </c>
      <c r="I77" s="18" t="n">
        <f aca="false">SUM(G$103:G$128)+H77*$B$14/7</f>
        <v>926.552324354409</v>
      </c>
      <c r="J77" s="45" t="n">
        <f aca="false">$B$26*7*SUMPRODUCT(G$103:G$128,1+($B$27-1)*((A77-$A$103:$A$128)&gt;=5))+H77*$B$14*$B$26</f>
        <v>175.042303862813</v>
      </c>
      <c r="K77" s="45" t="n">
        <f aca="false">I77*7*$B$34+E77*$B$31*MIN($B$32,100)*$B$33</f>
        <v>38.8938875483482</v>
      </c>
      <c r="L77" s="45" t="n">
        <f aca="false">$B$9</f>
        <v>0</v>
      </c>
      <c r="M77" s="45" t="n">
        <f aca="false">J77+K77-L77</f>
        <v>213.936191411161</v>
      </c>
      <c r="N77" s="45" t="n">
        <f aca="false">N76+M77</f>
        <v>932.333973313707</v>
      </c>
    </row>
    <row r="78" customFormat="false" ht="15" hidden="false" customHeight="false" outlineLevel="0" collapsed="false">
      <c r="A78" s="18" t="n">
        <v>6</v>
      </c>
      <c r="B78" s="3" t="str">
        <f aca="false">IF(AND(A78&gt;1,MOD(A78-1,$B$11)=0),"Yes","")</f>
        <v/>
      </c>
      <c r="C78" s="18" t="n">
        <f aca="false">$B$5*(1+$B$6)^(A78-1)*IF(B78="Yes",$B$12,1)</f>
        <v>1738.91111145</v>
      </c>
      <c r="D78" s="18" t="n">
        <f aca="false">I77/100*$B$7</f>
        <v>46.3276162177204</v>
      </c>
      <c r="E78" s="18" t="n">
        <f aca="false">$B$8*IF(B78="Yes",$B$12,1)</f>
        <v>300</v>
      </c>
      <c r="F78" s="18" t="n">
        <f aca="false">IF($B$10&lt;=0,0,$B$9/$B$10)</f>
        <v>0</v>
      </c>
      <c r="G78" s="18" t="n">
        <f aca="false">SUM(C78:F78)</f>
        <v>2085.23872766772</v>
      </c>
      <c r="H78" s="18" t="n">
        <f aca="false">IF(B78="Yes",MAX(0,SUM(G$73:G77)-I77)*$B$13,0)</f>
        <v>0</v>
      </c>
      <c r="I78" s="18" t="n">
        <f aca="false">SUM(H$103:H$128)+H78*$B$14/7</f>
        <v>975.375306511827</v>
      </c>
      <c r="J78" s="45" t="n">
        <f aca="false">$B$26*7*SUMPRODUCT(H$103:H$128,1+($B$27-1)*((A78-$A$103:$A$128)&gt;=5))+H78*$B$14*$B$26</f>
        <v>184.265838307283</v>
      </c>
      <c r="K78" s="45" t="n">
        <f aca="false">I78*7*$B$34+E78*$B$31*MIN($B$32,100)*$B$33</f>
        <v>39.2834949459644</v>
      </c>
      <c r="L78" s="45" t="n">
        <f aca="false">$B$9</f>
        <v>0</v>
      </c>
      <c r="M78" s="45" t="n">
        <f aca="false">J78+K78-L78</f>
        <v>223.549333253248</v>
      </c>
      <c r="N78" s="45" t="n">
        <f aca="false">N77+M78</f>
        <v>1155.88330656695</v>
      </c>
    </row>
    <row r="79" customFormat="false" ht="15" hidden="false" customHeight="false" outlineLevel="0" collapsed="false">
      <c r="A79" s="18" t="n">
        <v>7</v>
      </c>
      <c r="B79" s="3" t="str">
        <f aca="false">IF(AND(A79&gt;1,MOD(A79-1,$B$11)=0),"Yes","")</f>
        <v>Yes</v>
      </c>
      <c r="C79" s="18" t="n">
        <f aca="false">$B$5*(1+$B$6)^(A79-1)*IF(B79="Yes",$B$12,1)</f>
        <v>2686.61766719025</v>
      </c>
      <c r="D79" s="18" t="n">
        <f aca="false">I78/100*$B$7</f>
        <v>48.7687653255913</v>
      </c>
      <c r="E79" s="18" t="n">
        <f aca="false">$B$8*IF(B79="Yes",$B$12,1)</f>
        <v>450</v>
      </c>
      <c r="F79" s="18" t="n">
        <f aca="false">IF($B$10&lt;=0,0,$B$9/$B$10)</f>
        <v>0</v>
      </c>
      <c r="G79" s="18" t="n">
        <f aca="false">SUM(C79:F79)</f>
        <v>3185.38643251584</v>
      </c>
      <c r="H79" s="18" t="n">
        <f aca="false">IF(B79="Yes",MAX(0,SUM(G$73:G78)-I78)*$B$13,0)</f>
        <v>584.477279808965</v>
      </c>
      <c r="I79" s="18" t="n">
        <f aca="false">SUM(I$103:I$128)+H79*$B$14/7</f>
        <v>1558.69477812947</v>
      </c>
      <c r="J79" s="45" t="n">
        <f aca="false">$B$26*7*SUMPRODUCT(I$103:I$128,1+($B$27-1)*((A79-$A$103:$A$128)&gt;=5))+H79*$B$14*$B$26</f>
        <v>294.465318159795</v>
      </c>
      <c r="K79" s="45" t="n">
        <f aca="false">I79*7*$B$34+E79*$B$31*MIN($B$32,100)*$B$33</f>
        <v>59.6883843294732</v>
      </c>
      <c r="L79" s="45" t="n">
        <f aca="false">$B$9</f>
        <v>0</v>
      </c>
      <c r="M79" s="45" t="n">
        <f aca="false">J79+K79-L79</f>
        <v>354.153702489268</v>
      </c>
      <c r="N79" s="45" t="n">
        <f aca="false">N78+M79</f>
        <v>1510.03700905622</v>
      </c>
    </row>
    <row r="80" customFormat="false" ht="15" hidden="false" customHeight="false" outlineLevel="0" collapsed="false">
      <c r="A80" s="18" t="n">
        <v>8</v>
      </c>
      <c r="B80" s="3" t="str">
        <f aca="false">IF(AND(A80&gt;1,MOD(A80-1,$B$11)=0),"Yes","")</f>
        <v/>
      </c>
      <c r="C80" s="18" t="n">
        <f aca="false">$B$5*(1+$B$6)^(A80-1)*IF(B80="Yes",$B$12,1)</f>
        <v>1844.81079813731</v>
      </c>
      <c r="D80" s="18" t="n">
        <f aca="false">I79/100*$B$7</f>
        <v>77.9347389064736</v>
      </c>
      <c r="E80" s="18" t="n">
        <f aca="false">$B$8*IF(B80="Yes",$B$12,1)</f>
        <v>300</v>
      </c>
      <c r="F80" s="18" t="n">
        <f aca="false">IF($B$10&lt;=0,0,$B$9/$B$10)</f>
        <v>0</v>
      </c>
      <c r="G80" s="18" t="n">
        <f aca="false">SUM(C80:F80)</f>
        <v>2222.74553704378</v>
      </c>
      <c r="H80" s="18" t="n">
        <f aca="false">IF(B80="Yes",MAX(0,SUM(G$73:G79)-I79)*$B$13,0)</f>
        <v>0</v>
      </c>
      <c r="I80" s="18" t="n">
        <f aca="false">SUM(J$103:J$128)+H80*$B$14/7</f>
        <v>1164.43978131334</v>
      </c>
      <c r="J80" s="45" t="n">
        <f aca="false">$B$26*7*SUMPRODUCT(J$103:J$128,1+($B$27-1)*((A80-$A$103:$A$128)&gt;=5))+H80*$B$14*$B$26</f>
        <v>219.983498689743</v>
      </c>
      <c r="K80" s="45" t="n">
        <f aca="false">I80*7*$B$34+E80*$B$31*MIN($B$32,100)*$B$33</f>
        <v>40.7922294548804</v>
      </c>
      <c r="L80" s="45" t="n">
        <f aca="false">$B$9</f>
        <v>0</v>
      </c>
      <c r="M80" s="45" t="n">
        <f aca="false">J80+K80-L80</f>
        <v>260.775728144623</v>
      </c>
      <c r="N80" s="45" t="n">
        <f aca="false">N79+M80</f>
        <v>1770.81273720085</v>
      </c>
    </row>
    <row r="81" customFormat="false" ht="15" hidden="false" customHeight="false" outlineLevel="0" collapsed="false">
      <c r="A81" s="18" t="n">
        <v>9</v>
      </c>
      <c r="B81" s="3" t="str">
        <f aca="false">IF(AND(A81&gt;1,MOD(A81-1,$B$11)=0),"Yes","")</f>
        <v/>
      </c>
      <c r="C81" s="18" t="n">
        <f aca="false">$B$5*(1+$B$6)^(A81-1)*IF(B81="Yes",$B$12,1)</f>
        <v>1900.15512208142</v>
      </c>
      <c r="D81" s="18" t="n">
        <f aca="false">I80/100*$B$7</f>
        <v>58.2219890656669</v>
      </c>
      <c r="E81" s="18" t="n">
        <f aca="false">$B$8*IF(B81="Yes",$B$12,1)</f>
        <v>300</v>
      </c>
      <c r="F81" s="18" t="n">
        <f aca="false">IF($B$10&lt;=0,0,$B$9/$B$10)</f>
        <v>0</v>
      </c>
      <c r="G81" s="18" t="n">
        <f aca="false">SUM(C81:F81)</f>
        <v>2258.37711114709</v>
      </c>
      <c r="H81" s="18" t="n">
        <f aca="false">IF(B81="Yes",MAX(0,SUM(G$73:G80)-I80)*$B$13,0)</f>
        <v>0</v>
      </c>
      <c r="I81" s="18" t="n">
        <f aca="false">SUM(K$103:K$128)+H81*$B$14/7</f>
        <v>1199.70460996797</v>
      </c>
      <c r="J81" s="45" t="n">
        <f aca="false">$B$26*7*SUMPRODUCT(K$103:K$128,1+($B$27-1)*((A81-$A$103:$A$128)&gt;=5))+H81*$B$14*$B$26</f>
        <v>226.645655473318</v>
      </c>
      <c r="K81" s="45" t="n">
        <f aca="false">I81*7*$B$34+E81*$B$31*MIN($B$32,100)*$B$33</f>
        <v>41.0736427875444</v>
      </c>
      <c r="L81" s="45" t="n">
        <f aca="false">$B$9</f>
        <v>0</v>
      </c>
      <c r="M81" s="45" t="n">
        <f aca="false">J81+K81-L81</f>
        <v>267.719298260862</v>
      </c>
      <c r="N81" s="45" t="n">
        <f aca="false">N80+M81</f>
        <v>2038.53203546171</v>
      </c>
    </row>
    <row r="82" customFormat="false" ht="15" hidden="false" customHeight="false" outlineLevel="0" collapsed="false">
      <c r="A82" s="18" t="n">
        <v>10</v>
      </c>
      <c r="B82" s="3" t="str">
        <f aca="false">IF(AND(A82&gt;1,MOD(A82-1,$B$11)=0),"Yes","")</f>
        <v>Yes</v>
      </c>
      <c r="C82" s="18" t="n">
        <f aca="false">$B$5*(1+$B$6)^(A82-1)*IF(B82="Yes",$B$12,1)</f>
        <v>2935.7396636158</v>
      </c>
      <c r="D82" s="18" t="n">
        <f aca="false">I81/100*$B$7</f>
        <v>59.9852304983987</v>
      </c>
      <c r="E82" s="18" t="n">
        <f aca="false">$B$8*IF(B82="Yes",$B$12,1)</f>
        <v>450</v>
      </c>
      <c r="F82" s="18" t="n">
        <f aca="false">IF($B$10&lt;=0,0,$B$9/$B$10)</f>
        <v>0</v>
      </c>
      <c r="G82" s="18" t="n">
        <f aca="false">SUM(C82:F82)</f>
        <v>3445.7248941142</v>
      </c>
      <c r="H82" s="18" t="n">
        <f aca="false">IF(B82="Yes",MAX(0,SUM(G$73:G81)-I81)*$B$13,0)</f>
        <v>956.586268671493</v>
      </c>
      <c r="I82" s="18" t="n">
        <f aca="false">SUM(L$103:L$128)+H82*$B$14/7</f>
        <v>1956.36415820585</v>
      </c>
      <c r="J82" s="45" t="n">
        <f aca="false">$B$26*7*SUMPRODUCT(L$103:L$128,1+($B$27-1)*((A82-$A$103:$A$128)&gt;=5))+H82*$B$14*$B$26</f>
        <v>369.59217568807</v>
      </c>
      <c r="K82" s="45" t="n">
        <f aca="false">I82*7*$B$34+E82*$B$31*MIN($B$32,100)*$B$33</f>
        <v>62.8617859824827</v>
      </c>
      <c r="L82" s="45" t="n">
        <f aca="false">$B$9</f>
        <v>0</v>
      </c>
      <c r="M82" s="45" t="n">
        <f aca="false">J82+K82-L82</f>
        <v>432.453961670553</v>
      </c>
      <c r="N82" s="45" t="n">
        <f aca="false">N81+M82</f>
        <v>2470.98599713226</v>
      </c>
    </row>
    <row r="83" customFormat="false" ht="15" hidden="false" customHeight="false" outlineLevel="0" collapsed="false">
      <c r="A83" s="18" t="n">
        <v>11</v>
      </c>
      <c r="B83" s="3" t="str">
        <f aca="false">IF(AND(A83&gt;1,MOD(A83-1,$B$11)=0),"Yes","")</f>
        <v/>
      </c>
      <c r="C83" s="18" t="n">
        <f aca="false">$B$5*(1+$B$6)^(A83-1)*IF(B83="Yes",$B$12,1)</f>
        <v>2015.87456901618</v>
      </c>
      <c r="D83" s="18" t="n">
        <f aca="false">I82/100*$B$7</f>
        <v>97.8182079102926</v>
      </c>
      <c r="E83" s="18" t="n">
        <f aca="false">$B$8*IF(B83="Yes",$B$12,1)</f>
        <v>300</v>
      </c>
      <c r="F83" s="18" t="n">
        <f aca="false">IF($B$10&lt;=0,0,$B$9/$B$10)</f>
        <v>0</v>
      </c>
      <c r="G83" s="18" t="n">
        <f aca="false">SUM(C83:F83)</f>
        <v>2413.69277692648</v>
      </c>
      <c r="H83" s="18" t="n">
        <f aca="false">IF(B83="Yes",MAX(0,SUM(G$73:G82)-I82)*$B$13,0)</f>
        <v>0</v>
      </c>
      <c r="I83" s="18" t="n">
        <f aca="false">SUM(M$103:M$128)+H83*$B$14/7</f>
        <v>1383.0601610289</v>
      </c>
      <c r="J83" s="45" t="n">
        <f aca="false">$B$26*7*SUMPRODUCT(M$103:M$128,1+($B$27-1)*((A83-$A$103:$A$128)&gt;=5))+H83*$B$14*$B$26</f>
        <v>261.284798066914</v>
      </c>
      <c r="K83" s="45" t="n">
        <f aca="false">I83*7*$B$34+E83*$B$31*MIN($B$32,100)*$B$33</f>
        <v>42.5368200850106</v>
      </c>
      <c r="L83" s="45" t="n">
        <f aca="false">$B$9</f>
        <v>0</v>
      </c>
      <c r="M83" s="45" t="n">
        <f aca="false">J83+K83-L83</f>
        <v>303.821618151925</v>
      </c>
      <c r="N83" s="45" t="n">
        <f aca="false">N82+M83</f>
        <v>2774.80761528419</v>
      </c>
    </row>
    <row r="84" customFormat="false" ht="15" hidden="false" customHeight="false" outlineLevel="0" collapsed="false">
      <c r="A84" s="18" t="n">
        <v>12</v>
      </c>
      <c r="B84" s="3" t="str">
        <f aca="false">IF(AND(A84&gt;1,MOD(A84-1,$B$11)=0),"Yes","")</f>
        <v/>
      </c>
      <c r="C84" s="18" t="n">
        <f aca="false">$B$5*(1+$B$6)^(A84-1)*IF(B84="Yes",$B$12,1)</f>
        <v>2076.35080608667</v>
      </c>
      <c r="D84" s="18" t="n">
        <f aca="false">I83/100*$B$7</f>
        <v>69.1530080514451</v>
      </c>
      <c r="E84" s="18" t="n">
        <f aca="false">$B$8*IF(B84="Yes",$B$12,1)</f>
        <v>300</v>
      </c>
      <c r="F84" s="18" t="n">
        <f aca="false">IF($B$10&lt;=0,0,$B$9/$B$10)</f>
        <v>0</v>
      </c>
      <c r="G84" s="18" t="n">
        <f aca="false">SUM(C84:F84)</f>
        <v>2445.50381413811</v>
      </c>
      <c r="H84" s="18" t="n">
        <f aca="false">IF(B84="Yes",MAX(0,SUM(G$73:G83)-I83)*$B$13,0)</f>
        <v>0</v>
      </c>
      <c r="I84" s="18" t="n">
        <f aca="false">SUM(N$103:N$128)+H84*$B$14/7</f>
        <v>1411.58168364837</v>
      </c>
      <c r="J84" s="45" t="n">
        <f aca="false">$B$26*7*SUMPRODUCT(N$103:N$128,1+($B$27-1)*((A84-$A$103:$A$128)&gt;=5))+H84*$B$14*$B$26</f>
        <v>266.673023748033</v>
      </c>
      <c r="K84" s="45" t="n">
        <f aca="false">I84*7*$B$34+E84*$B$31*MIN($B$32,100)*$B$33</f>
        <v>42.764421835514</v>
      </c>
      <c r="L84" s="45" t="n">
        <f aca="false">$B$9</f>
        <v>0</v>
      </c>
      <c r="M84" s="45" t="n">
        <f aca="false">J84+K84-L84</f>
        <v>309.437445583547</v>
      </c>
      <c r="N84" s="45" t="n">
        <f aca="false">N83+M84</f>
        <v>3084.24506086773</v>
      </c>
    </row>
    <row r="85" customFormat="false" ht="15" hidden="false" customHeight="false" outlineLevel="0" collapsed="false">
      <c r="A85" s="18" t="n">
        <v>13</v>
      </c>
      <c r="B85" s="3" t="str">
        <f aca="false">IF(AND(A85&gt;1,MOD(A85-1,$B$11)=0),"Yes","")</f>
        <v>Yes</v>
      </c>
      <c r="C85" s="18" t="n">
        <f aca="false">$B$5*(1+$B$6)^(A85-1)*IF(B85="Yes",$B$12,1)</f>
        <v>3207.9619954039</v>
      </c>
      <c r="D85" s="18" t="n">
        <f aca="false">I84/100*$B$7</f>
        <v>70.5790841824185</v>
      </c>
      <c r="E85" s="18" t="n">
        <f aca="false">$B$8*IF(B85="Yes",$B$12,1)</f>
        <v>450</v>
      </c>
      <c r="F85" s="18" t="n">
        <f aca="false">IF($B$10&lt;=0,0,$B$9/$B$10)</f>
        <v>0</v>
      </c>
      <c r="G85" s="18" t="n">
        <f aca="false">SUM(C85:F85)</f>
        <v>3728.54107958632</v>
      </c>
      <c r="H85" s="18" t="n">
        <f aca="false">IF(B85="Yes",MAX(0,SUM(G$73:G84)-I84)*$B$13,0)</f>
        <v>1361.23848924641</v>
      </c>
      <c r="I85" s="18" t="n">
        <f aca="false">SUM(O$103:O$128)+H85*$B$14/7</f>
        <v>2362.53724897432</v>
      </c>
      <c r="J85" s="45" t="n">
        <f aca="false">$B$26*7*SUMPRODUCT(O$103:O$128,1+($B$27-1)*((A85-$A$103:$A$128)&gt;=5))+H85*$B$14*$B$26</f>
        <v>446.325536240299</v>
      </c>
      <c r="K85" s="45" t="n">
        <f aca="false">I85*7*$B$34+E85*$B$31*MIN($B$32,100)*$B$33</f>
        <v>66.1030472468151</v>
      </c>
      <c r="L85" s="45" t="n">
        <f aca="false">$B$9</f>
        <v>0</v>
      </c>
      <c r="M85" s="45" t="n">
        <f aca="false">J85+K85-L85</f>
        <v>512.428583487114</v>
      </c>
      <c r="N85" s="45" t="n">
        <f aca="false">N84+M85</f>
        <v>3596.67364435485</v>
      </c>
    </row>
    <row r="86" customFormat="false" ht="15" hidden="false" customHeight="false" outlineLevel="0" collapsed="false">
      <c r="A86" s="18" t="n">
        <v>14</v>
      </c>
      <c r="B86" s="3" t="str">
        <f aca="false">IF(AND(A86&gt;1,MOD(A86-1,$B$11)=0),"Yes","")</f>
        <v/>
      </c>
      <c r="C86" s="18" t="n">
        <f aca="false">$B$5*(1+$B$6)^(A86-1)*IF(B86="Yes",$B$12,1)</f>
        <v>2202.80057017735</v>
      </c>
      <c r="D86" s="18" t="n">
        <f aca="false">I85/100*$B$7</f>
        <v>118.126862448716</v>
      </c>
      <c r="E86" s="18" t="n">
        <f aca="false">$B$8*IF(B86="Yes",$B$12,1)</f>
        <v>300</v>
      </c>
      <c r="F86" s="18" t="n">
        <f aca="false">IF($B$10&lt;=0,0,$B$9/$B$10)</f>
        <v>0</v>
      </c>
      <c r="G86" s="18" t="n">
        <f aca="false">SUM(C86:F86)</f>
        <v>2620.92743262606</v>
      </c>
      <c r="H86" s="18" t="n">
        <f aca="false">IF(B86="Yes",MAX(0,SUM(G$73:G85)-I85)*$B$13,0)</f>
        <v>0</v>
      </c>
      <c r="I86" s="18" t="n">
        <f aca="false">SUM(P$103:P$128)+H86*$B$14/7</f>
        <v>1598.6495044645</v>
      </c>
      <c r="J86" s="45" t="n">
        <f aca="false">$B$26*7*SUMPRODUCT(P$103:P$128,1+($B$27-1)*((A86-$A$103:$A$128)&gt;=5))+H86*$B$14*$B$26</f>
        <v>302.013480485936</v>
      </c>
      <c r="K86" s="45" t="n">
        <f aca="false">I86*7*$B$34+E86*$B$31*MIN($B$32,100)*$B$33</f>
        <v>44.2572230456267</v>
      </c>
      <c r="L86" s="45" t="n">
        <f aca="false">$B$9</f>
        <v>0</v>
      </c>
      <c r="M86" s="45" t="n">
        <f aca="false">J86+K86-L86</f>
        <v>346.270703531563</v>
      </c>
      <c r="N86" s="45" t="n">
        <f aca="false">N85+M86</f>
        <v>3942.94434788641</v>
      </c>
    </row>
    <row r="87" customFormat="false" ht="15" hidden="false" customHeight="false" outlineLevel="0" collapsed="false">
      <c r="A87" s="18" t="n">
        <v>15</v>
      </c>
      <c r="B87" s="3" t="str">
        <f aca="false">IF(AND(A87&gt;1,MOD(A87-1,$B$11)=0),"Yes","")</f>
        <v/>
      </c>
      <c r="C87" s="18" t="n">
        <f aca="false">$B$5*(1+$B$6)^(A87-1)*IF(B87="Yes",$B$12,1)</f>
        <v>2268.88458728267</v>
      </c>
      <c r="D87" s="18" t="n">
        <f aca="false">I86/100*$B$7</f>
        <v>79.9324752232248</v>
      </c>
      <c r="E87" s="18" t="n">
        <f aca="false">$B$8*IF(B87="Yes",$B$12,1)</f>
        <v>300</v>
      </c>
      <c r="F87" s="18" t="n">
        <f aca="false">IF($B$10&lt;=0,0,$B$9/$B$10)</f>
        <v>0</v>
      </c>
      <c r="G87" s="18" t="n">
        <f aca="false">SUM(C87:F87)</f>
        <v>2648.81706250589</v>
      </c>
      <c r="H87" s="18" t="n">
        <f aca="false">IF(B87="Yes",MAX(0,SUM(G$73:G86)-I86)*$B$13,0)</f>
        <v>0</v>
      </c>
      <c r="I87" s="18" t="n">
        <f aca="false">SUM(Q$103:Q$128)+H87*$B$14/7</f>
        <v>1623.05571839707</v>
      </c>
      <c r="J87" s="45" t="n">
        <f aca="false">$B$26*7*SUMPRODUCT(Q$103:Q$128,1+($B$27-1)*((A87-$A$103:$A$128)&gt;=5))+H87*$B$14*$B$26</f>
        <v>306.624250760893</v>
      </c>
      <c r="K87" s="45" t="n">
        <f aca="false">I87*7*$B$34+E87*$B$31*MIN($B$32,100)*$B$33</f>
        <v>44.4519846328086</v>
      </c>
      <c r="L87" s="45" t="n">
        <f aca="false">$B$9</f>
        <v>0</v>
      </c>
      <c r="M87" s="45" t="n">
        <f aca="false">J87+K87-L87</f>
        <v>351.076235393702</v>
      </c>
      <c r="N87" s="45" t="n">
        <f aca="false">N86+M87</f>
        <v>4294.02058328011</v>
      </c>
    </row>
    <row r="88" customFormat="false" ht="15" hidden="false" customHeight="false" outlineLevel="0" collapsed="false">
      <c r="A88" s="18" t="n">
        <v>16</v>
      </c>
      <c r="B88" s="3" t="str">
        <f aca="false">IF(AND(A88&gt;1,MOD(A88-1,$B$11)=0),"Yes","")</f>
        <v>Yes</v>
      </c>
      <c r="C88" s="18" t="n">
        <f aca="false">$B$5*(1+$B$6)^(A88-1)*IF(B88="Yes",$B$12,1)</f>
        <v>3505.42668735172</v>
      </c>
      <c r="D88" s="18" t="n">
        <f aca="false">I87/100*$B$7</f>
        <v>81.1527859198533</v>
      </c>
      <c r="E88" s="18" t="n">
        <f aca="false">$B$8*IF(B88="Yes",$B$12,1)</f>
        <v>450</v>
      </c>
      <c r="F88" s="18" t="n">
        <f aca="false">IF($B$10&lt;=0,0,$B$9/$B$10)</f>
        <v>0</v>
      </c>
      <c r="G88" s="18" t="n">
        <f aca="false">SUM(C88:F88)</f>
        <v>4036.57947327157</v>
      </c>
      <c r="H88" s="18" t="n">
        <f aca="false">IF(B88="Yes",MAX(0,SUM(G$73:G87)-I87)*$B$13,0)</f>
        <v>1800.57906624489</v>
      </c>
      <c r="I88" s="18" t="n">
        <f aca="false">SUM(R$103:R$128)+H88*$B$14/7</f>
        <v>2787.66079157182</v>
      </c>
      <c r="J88" s="45" t="n">
        <f aca="false">$B$26*7*SUMPRODUCT(R$103:R$128,1+($B$27-1)*((A88-$A$103:$A$128)&gt;=5))+H88*$B$14*$B$26</f>
        <v>526.638976039219</v>
      </c>
      <c r="K88" s="45" t="n">
        <f aca="false">I88*7*$B$34+E88*$B$31*MIN($B$32,100)*$B$33</f>
        <v>69.4955331167432</v>
      </c>
      <c r="L88" s="45" t="n">
        <f aca="false">$B$9</f>
        <v>0</v>
      </c>
      <c r="M88" s="45" t="n">
        <f aca="false">J88+K88-L88</f>
        <v>596.134509155962</v>
      </c>
      <c r="N88" s="45" t="n">
        <f aca="false">N87+M88</f>
        <v>4890.15509243607</v>
      </c>
    </row>
    <row r="89" customFormat="false" ht="15" hidden="false" customHeight="false" outlineLevel="0" collapsed="false">
      <c r="A89" s="18" t="n">
        <v>17</v>
      </c>
      <c r="B89" s="3" t="str">
        <f aca="false">IF(AND(A89&gt;1,MOD(A89-1,$B$11)=0),"Yes","")</f>
        <v/>
      </c>
      <c r="C89" s="18" t="n">
        <f aca="false">$B$5*(1+$B$6)^(A89-1)*IF(B89="Yes",$B$12,1)</f>
        <v>2407.05965864818</v>
      </c>
      <c r="D89" s="18" t="n">
        <f aca="false">I88/100*$B$7</f>
        <v>139.383039578591</v>
      </c>
      <c r="E89" s="18" t="n">
        <f aca="false">$B$8*IF(B89="Yes",$B$12,1)</f>
        <v>300</v>
      </c>
      <c r="F89" s="18" t="n">
        <f aca="false">IF($B$10&lt;=0,0,$B$9/$B$10)</f>
        <v>0</v>
      </c>
      <c r="G89" s="18" t="n">
        <f aca="false">SUM(C89:F89)</f>
        <v>2846.44269822677</v>
      </c>
      <c r="H89" s="18" t="n">
        <f aca="false">IF(B89="Yes",MAX(0,SUM(G$73:G88)-I88)*$B$13,0)</f>
        <v>0</v>
      </c>
      <c r="I89" s="18" t="n">
        <f aca="false">SUM(S$103:S$128)+H89*$B$14/7</f>
        <v>1818.76416053466</v>
      </c>
      <c r="J89" s="45" t="n">
        <f aca="false">$B$26*7*SUMPRODUCT(S$103:S$128,1+($B$27-1)*((A89-$A$103:$A$128)&gt;=5))+H89*$B$14*$B$26</f>
        <v>343.59707538905</v>
      </c>
      <c r="K89" s="45" t="n">
        <f aca="false">I89*7*$B$34+E89*$B$31*MIN($B$32,100)*$B$33</f>
        <v>46.0137380010666</v>
      </c>
      <c r="L89" s="45" t="n">
        <f aca="false">$B$9</f>
        <v>0</v>
      </c>
      <c r="M89" s="45" t="n">
        <f aca="false">J89+K89-L89</f>
        <v>389.610813390116</v>
      </c>
      <c r="N89" s="45" t="n">
        <f aca="false">N88+M89</f>
        <v>5279.76590582619</v>
      </c>
    </row>
    <row r="90" customFormat="false" ht="15" hidden="false" customHeight="false" outlineLevel="0" collapsed="false">
      <c r="A90" s="18" t="n">
        <v>18</v>
      </c>
      <c r="B90" s="3" t="str">
        <f aca="false">IF(AND(A90&gt;1,MOD(A90-1,$B$11)=0),"Yes","")</f>
        <v/>
      </c>
      <c r="C90" s="18" t="n">
        <f aca="false">$B$5*(1+$B$6)^(A90-1)*IF(B90="Yes",$B$12,1)</f>
        <v>2479.27144840763</v>
      </c>
      <c r="D90" s="18" t="n">
        <f aca="false">I89/100*$B$7</f>
        <v>90.9382080267329</v>
      </c>
      <c r="E90" s="18" t="n">
        <f aca="false">$B$8*IF(B90="Yes",$B$12,1)</f>
        <v>300</v>
      </c>
      <c r="F90" s="18" t="n">
        <f aca="false">IF($B$10&lt;=0,0,$B$9/$B$10)</f>
        <v>0</v>
      </c>
      <c r="G90" s="18" t="n">
        <f aca="false">SUM(C90:F90)</f>
        <v>2870.20965643436</v>
      </c>
      <c r="H90" s="18" t="n">
        <f aca="false">IF(B90="Yes",MAX(0,SUM(G$73:G89)-I89)*$B$13,0)</f>
        <v>0</v>
      </c>
      <c r="I90" s="18" t="n">
        <f aca="false">SUM(T$103:T$128)+H90*$B$14/7</f>
        <v>1840.35998456643</v>
      </c>
      <c r="J90" s="45" t="n">
        <f aca="false">$B$26*7*SUMPRODUCT(T$103:T$128,1+($B$27-1)*((A90-$A$103:$A$128)&gt;=5))+H90*$B$14*$B$26</f>
        <v>347.676912752765</v>
      </c>
      <c r="K90" s="45" t="n">
        <f aca="false">I90*7*$B$34+E90*$B$31*MIN($B$32,100)*$B$33</f>
        <v>46.1860726768401</v>
      </c>
      <c r="L90" s="45" t="n">
        <f aca="false">$B$9</f>
        <v>0</v>
      </c>
      <c r="M90" s="45" t="n">
        <f aca="false">J90+K90-L90</f>
        <v>393.862985429605</v>
      </c>
      <c r="N90" s="45" t="n">
        <f aca="false">N89+M90</f>
        <v>5673.62889125579</v>
      </c>
    </row>
    <row r="91" customFormat="false" ht="15" hidden="false" customHeight="false" outlineLevel="0" collapsed="false">
      <c r="A91" s="18" t="n">
        <v>19</v>
      </c>
      <c r="B91" s="3" t="str">
        <f aca="false">IF(AND(A91&gt;1,MOD(A91-1,$B$11)=0),"Yes","")</f>
        <v>Yes</v>
      </c>
      <c r="C91" s="18" t="n">
        <f aca="false">$B$5*(1+$B$6)^(A91-1)*IF(B91="Yes",$B$12,1)</f>
        <v>3830.47438778979</v>
      </c>
      <c r="D91" s="18" t="n">
        <f aca="false">I90/100*$B$7</f>
        <v>92.0179992283217</v>
      </c>
      <c r="E91" s="18" t="n">
        <f aca="false">$B$8*IF(B91="Yes",$B$12,1)</f>
        <v>450</v>
      </c>
      <c r="F91" s="18" t="n">
        <f aca="false">IF($B$10&lt;=0,0,$B$9/$B$10)</f>
        <v>0</v>
      </c>
      <c r="G91" s="18" t="n">
        <f aca="false">SUM(C91:F91)</f>
        <v>4372.49238701811</v>
      </c>
      <c r="H91" s="18" t="n">
        <f aca="false">IF(B91="Yes",MAX(0,SUM(G$73:G90)-I90)*$B$13,0)</f>
        <v>2277.37544433306</v>
      </c>
      <c r="I91" s="18" t="n">
        <f aca="false">SUM(U$103:U$128)+H91*$B$14/7</f>
        <v>3238.40952944394</v>
      </c>
      <c r="J91" s="45" t="n">
        <f aca="false">$B$26*7*SUMPRODUCT(U$103:U$128,1+($B$27-1)*((A91-$A$103:$A$128)&gt;=5))+H91*$B$14*$B$26</f>
        <v>611.793473487989</v>
      </c>
      <c r="K91" s="45" t="n">
        <f aca="false">I91*7*$B$34+E91*$B$31*MIN($B$32,100)*$B$33</f>
        <v>73.0925080449626</v>
      </c>
      <c r="L91" s="45" t="n">
        <f aca="false">$B$9</f>
        <v>0</v>
      </c>
      <c r="M91" s="45" t="n">
        <f aca="false">J91+K91-L91</f>
        <v>684.885981532952</v>
      </c>
      <c r="N91" s="45" t="n">
        <f aca="false">N90+M91</f>
        <v>6358.51487278875</v>
      </c>
    </row>
    <row r="92" customFormat="false" ht="15" hidden="false" customHeight="false" outlineLevel="0" collapsed="false">
      <c r="A92" s="18" t="n">
        <v>20</v>
      </c>
      <c r="B92" s="3" t="str">
        <f aca="false">IF(AND(A92&gt;1,MOD(A92-1,$B$11)=0),"Yes","")</f>
        <v/>
      </c>
      <c r="C92" s="18" t="n">
        <f aca="false">$B$5*(1+$B$6)^(A92-1)*IF(B92="Yes",$B$12,1)</f>
        <v>2630.25907961565</v>
      </c>
      <c r="D92" s="18" t="n">
        <f aca="false">I91/100*$B$7</f>
        <v>161.920476472197</v>
      </c>
      <c r="E92" s="18" t="n">
        <f aca="false">$B$8*IF(B92="Yes",$B$12,1)</f>
        <v>300</v>
      </c>
      <c r="F92" s="18" t="n">
        <f aca="false">IF($B$10&lt;=0,0,$B$9/$B$10)</f>
        <v>0</v>
      </c>
      <c r="G92" s="18" t="n">
        <f aca="false">SUM(C92:F92)</f>
        <v>3092.17955608785</v>
      </c>
      <c r="H92" s="18" t="n">
        <f aca="false">IF(B92="Yes",MAX(0,SUM(G$73:G91)-I91)*$B$13,0)</f>
        <v>0</v>
      </c>
      <c r="I92" s="18" t="n">
        <f aca="false">SUM(V$103:V$128)+H92*$B$14/7</f>
        <v>2048.05132280222</v>
      </c>
      <c r="J92" s="45" t="n">
        <f aca="false">$B$26*7*SUMPRODUCT(V$103:V$128,1+($B$27-1)*((A92-$A$103:$A$128)&gt;=5))+H92*$B$14*$B$26</f>
        <v>386.913520747325</v>
      </c>
      <c r="K92" s="45" t="n">
        <f aca="false">I92*7*$B$34+E92*$B$31*MIN($B$32,100)*$B$33</f>
        <v>47.8434495559617</v>
      </c>
      <c r="L92" s="45" t="n">
        <f aca="false">$B$9</f>
        <v>0</v>
      </c>
      <c r="M92" s="45" t="n">
        <f aca="false">J92+K92-L92</f>
        <v>434.756970303287</v>
      </c>
      <c r="N92" s="45" t="n">
        <f aca="false">N91+M92</f>
        <v>6793.27184309203</v>
      </c>
    </row>
    <row r="93" customFormat="false" ht="15" hidden="false" customHeight="false" outlineLevel="0" collapsed="false">
      <c r="A93" s="18" t="n">
        <v>21</v>
      </c>
      <c r="B93" s="3" t="str">
        <f aca="false">IF(AND(A93&gt;1,MOD(A93-1,$B$11)=0),"Yes","")</f>
        <v/>
      </c>
      <c r="C93" s="18" t="n">
        <f aca="false">$B$5*(1+$B$6)^(A93-1)*IF(B93="Yes",$B$12,1)</f>
        <v>2709.16685200412</v>
      </c>
      <c r="D93" s="18" t="n">
        <f aca="false">I92/100*$B$7</f>
        <v>102.402566140111</v>
      </c>
      <c r="E93" s="18" t="n">
        <f aca="false">$B$8*IF(B93="Yes",$B$12,1)</f>
        <v>300</v>
      </c>
      <c r="F93" s="18" t="n">
        <f aca="false">IF($B$10&lt;=0,0,$B$9/$B$10)</f>
        <v>0</v>
      </c>
      <c r="G93" s="18" t="n">
        <f aca="false">SUM(C93:F93)</f>
        <v>3111.56941814423</v>
      </c>
      <c r="H93" s="18" t="n">
        <f aca="false">IF(B93="Yes",MAX(0,SUM(G$73:G92)-I92)*$B$13,0)</f>
        <v>0</v>
      </c>
      <c r="I93" s="18" t="n">
        <f aca="false">SUM(W$103:W$128)+H93*$B$14/7</f>
        <v>2067.58346300257</v>
      </c>
      <c r="J93" s="45" t="n">
        <f aca="false">$B$26*7*SUMPRODUCT(W$103:W$128,1+($B$27-1)*((A93-$A$103:$A$128)&gt;=5))+H93*$B$14*$B$26</f>
        <v>390.603491329852</v>
      </c>
      <c r="K93" s="45" t="n">
        <f aca="false">I93*7*$B$34+E93*$B$31*MIN($B$32,100)*$B$33</f>
        <v>47.9993160347605</v>
      </c>
      <c r="L93" s="45" t="n">
        <f aca="false">$B$9</f>
        <v>0</v>
      </c>
      <c r="M93" s="45" t="n">
        <f aca="false">J93+K93-L93</f>
        <v>438.602807364613</v>
      </c>
      <c r="N93" s="45" t="n">
        <f aca="false">N92+M93</f>
        <v>7231.87465045665</v>
      </c>
    </row>
    <row r="94" customFormat="false" ht="15" hidden="false" customHeight="false" outlineLevel="0" collapsed="false">
      <c r="A94" s="18" t="n">
        <v>22</v>
      </c>
      <c r="B94" s="3" t="str">
        <f aca="false">IF(AND(A94&gt;1,MOD(A94-1,$B$11)=0),"Yes","")</f>
        <v>Yes</v>
      </c>
      <c r="C94" s="18" t="n">
        <f aca="false">$B$5*(1+$B$6)^(A94-1)*IF(B94="Yes",$B$12,1)</f>
        <v>4185.66278634637</v>
      </c>
      <c r="D94" s="18" t="n">
        <f aca="false">I93/100*$B$7</f>
        <v>103.379173150128</v>
      </c>
      <c r="E94" s="18" t="n">
        <f aca="false">$B$8*IF(B94="Yes",$B$12,1)</f>
        <v>450</v>
      </c>
      <c r="F94" s="18" t="n">
        <f aca="false">IF($B$10&lt;=0,0,$B$9/$B$10)</f>
        <v>0</v>
      </c>
      <c r="G94" s="18" t="n">
        <f aca="false">SUM(C94:F94)</f>
        <v>4739.0419594965</v>
      </c>
      <c r="H94" s="18" t="n">
        <f aca="false">IF(B94="Yes",MAX(0,SUM(G$73:G93)-I93)*$B$13,0)</f>
        <v>2794.82633847376</v>
      </c>
      <c r="I94" s="18" t="n">
        <f aca="false">SUM(X$103:X$128)+H94*$B$14/7</f>
        <v>3720.05381501129</v>
      </c>
      <c r="J94" s="45" t="n">
        <f aca="false">$B$26*7*SUMPRODUCT(X$103:X$128,1+($B$27-1)*((A94-$A$103:$A$128)&gt;=5))+H94*$B$14*$B$26</f>
        <v>702.784692410041</v>
      </c>
      <c r="K94" s="45" t="n">
        <f aca="false">I94*7*$B$34+E94*$B$31*MIN($B$32,100)*$B$33</f>
        <v>76.9360294437901</v>
      </c>
      <c r="L94" s="45" t="n">
        <f aca="false">$B$9</f>
        <v>0</v>
      </c>
      <c r="M94" s="45" t="n">
        <f aca="false">J94+K94-L94</f>
        <v>779.720721853832</v>
      </c>
      <c r="N94" s="45" t="n">
        <f aca="false">N93+M94</f>
        <v>8011.59537231048</v>
      </c>
    </row>
    <row r="95" customFormat="false" ht="15" hidden="false" customHeight="false" outlineLevel="0" collapsed="false">
      <c r="A95" s="18" t="n">
        <v>23</v>
      </c>
      <c r="B95" s="3" t="str">
        <f aca="false">IF(AND(A95&gt;1,MOD(A95-1,$B$11)=0),"Yes","")</f>
        <v/>
      </c>
      <c r="C95" s="18" t="n">
        <f aca="false">$B$5*(1+$B$6)^(A95-1)*IF(B95="Yes",$B$12,1)</f>
        <v>2874.15511329117</v>
      </c>
      <c r="D95" s="18" t="n">
        <f aca="false">I94/100*$B$7</f>
        <v>186.002690750565</v>
      </c>
      <c r="E95" s="18" t="n">
        <f aca="false">$B$8*IF(B95="Yes",$B$12,1)</f>
        <v>300</v>
      </c>
      <c r="F95" s="18" t="n">
        <f aca="false">IF($B$10&lt;=0,0,$B$9/$B$10)</f>
        <v>0</v>
      </c>
      <c r="G95" s="18" t="n">
        <f aca="false">SUM(C95:F95)</f>
        <v>3360.15780404174</v>
      </c>
      <c r="H95" s="18" t="n">
        <f aca="false">IF(B95="Yes",MAX(0,SUM(G$73:G94)-I94)*$B$13,0)</f>
        <v>0</v>
      </c>
      <c r="I95" s="18" t="n">
        <f aca="false">SUM(Y$103:Y$128)+H95*$B$14/7</f>
        <v>2289.94235660526</v>
      </c>
      <c r="J95" s="45" t="n">
        <f aca="false">$B$26*7*SUMPRODUCT(Y$103:Y$128,1+($B$27-1)*((A95-$A$103:$A$128)&gt;=5))+H95*$B$14*$B$26</f>
        <v>432.611062837182</v>
      </c>
      <c r="K95" s="45" t="n">
        <f aca="false">I95*7*$B$34+E95*$B$31*MIN($B$32,100)*$B$33</f>
        <v>49.77374000571</v>
      </c>
      <c r="L95" s="45" t="n">
        <f aca="false">$B$9</f>
        <v>0</v>
      </c>
      <c r="M95" s="45" t="n">
        <f aca="false">J95+K95-L95</f>
        <v>482.384802842892</v>
      </c>
      <c r="N95" s="45" t="n">
        <f aca="false">N94+M95</f>
        <v>8493.98017515337</v>
      </c>
    </row>
    <row r="96" customFormat="false" ht="15" hidden="false" customHeight="false" outlineLevel="0" collapsed="false">
      <c r="A96" s="18" t="n">
        <v>24</v>
      </c>
      <c r="B96" s="3" t="str">
        <f aca="false">IF(AND(A96&gt;1,MOD(A96-1,$B$11)=0),"Yes","")</f>
        <v/>
      </c>
      <c r="C96" s="18" t="n">
        <f aca="false">$B$5*(1+$B$6)^(A96-1)*IF(B96="Yes",$B$12,1)</f>
        <v>2960.37976668991</v>
      </c>
      <c r="D96" s="18" t="n">
        <f aca="false">I95/100*$B$7</f>
        <v>114.497117830263</v>
      </c>
      <c r="E96" s="18" t="n">
        <f aca="false">$B$8*IF(B96="Yes",$B$12,1)</f>
        <v>300</v>
      </c>
      <c r="F96" s="18" t="n">
        <f aca="false">IF($B$10&lt;=0,0,$B$9/$B$10)</f>
        <v>0</v>
      </c>
      <c r="G96" s="18" t="n">
        <f aca="false">SUM(C96:F96)</f>
        <v>3374.87688452017</v>
      </c>
      <c r="H96" s="18" t="n">
        <f aca="false">IF(B96="Yes",MAX(0,SUM(G$73:G95)-I95)*$B$13,0)</f>
        <v>0</v>
      </c>
      <c r="I96" s="18" t="n">
        <f aca="false">SUM(Z$103:Z$128)+H96*$B$14/7</f>
        <v>2307.87954561683</v>
      </c>
      <c r="J96" s="45" t="n">
        <f aca="false">$B$26*7*SUMPRODUCT(Z$103:Z$128,1+($B$27-1)*((A96-$A$103:$A$128)&gt;=5))+H96*$B$14*$B$26</f>
        <v>435.999718617196</v>
      </c>
      <c r="K96" s="45" t="n">
        <f aca="false">I96*7*$B$34+E96*$B$31*MIN($B$32,100)*$B$33</f>
        <v>49.9168787740223</v>
      </c>
      <c r="L96" s="45" t="n">
        <f aca="false">$B$9</f>
        <v>0</v>
      </c>
      <c r="M96" s="45" t="n">
        <f aca="false">J96+K96-L96</f>
        <v>485.916597391218</v>
      </c>
      <c r="N96" s="45" t="n">
        <f aca="false">N95+M96</f>
        <v>8979.89677254459</v>
      </c>
    </row>
    <row r="97" customFormat="false" ht="15" hidden="false" customHeight="false" outlineLevel="0" collapsed="false">
      <c r="A97" s="18" t="n">
        <v>25</v>
      </c>
      <c r="B97" s="3" t="str">
        <f aca="false">IF(AND(A97&gt;1,MOD(A97-1,$B$11)=0),"Yes","")</f>
        <v>Yes</v>
      </c>
      <c r="C97" s="18" t="n">
        <f aca="false">$B$5*(1+$B$6)^(A97-1)*IF(B97="Yes",$B$12,1)</f>
        <v>4573.78673953591</v>
      </c>
      <c r="D97" s="18" t="n">
        <f aca="false">I96/100*$B$7</f>
        <v>115.393977280841</v>
      </c>
      <c r="E97" s="18" t="n">
        <f aca="false">$B$8*IF(B97="Yes",$B$12,1)</f>
        <v>450</v>
      </c>
      <c r="F97" s="18" t="n">
        <f aca="false">IF($B$10&lt;=0,0,$B$9/$B$10)</f>
        <v>0</v>
      </c>
      <c r="G97" s="18" t="n">
        <f aca="false">SUM(C97:F97)</f>
        <v>5139.18071681675</v>
      </c>
      <c r="H97" s="18" t="n">
        <f aca="false">IF(B97="Yes",MAX(0,SUM(G$73:G96)-I96)*$B$13,0)</f>
        <v>3356.51536674597</v>
      </c>
      <c r="I97" s="18" t="n">
        <f aca="false">SUM(AA$103:AA$128)+H97*$B$14/7</f>
        <v>4237.32647560699</v>
      </c>
      <c r="J97" s="45" t="n">
        <f aca="false">$B$26*7*SUMPRODUCT(AA$103:AA$128,1+($B$27-1)*((A97-$A$103:$A$128)&gt;=5))+H97*$B$14*$B$26</f>
        <v>800.506748527061</v>
      </c>
      <c r="K97" s="45" t="n">
        <f aca="false">I97*7*$B$34+E97*$B$31*MIN($B$32,100)*$B$33</f>
        <v>81.0638652753437</v>
      </c>
      <c r="L97" s="45" t="n">
        <f aca="false">$B$9</f>
        <v>0</v>
      </c>
      <c r="M97" s="45" t="n">
        <f aca="false">J97+K97-L97</f>
        <v>881.570613802405</v>
      </c>
      <c r="N97" s="45" t="n">
        <f aca="false">N96+M97</f>
        <v>9861.46738634699</v>
      </c>
    </row>
    <row r="98" customFormat="false" ht="15" hidden="false" customHeight="false" outlineLevel="0" collapsed="false">
      <c r="A98" s="18" t="n">
        <v>26</v>
      </c>
      <c r="B98" s="3" t="str">
        <f aca="false">IF(AND(A98&gt;1,MOD(A98-1,$B$11)=0),"Yes","")</f>
        <v/>
      </c>
      <c r="C98" s="18" t="n">
        <f aca="false">$B$5*(1+$B$6)^(A98-1)*IF(B98="Yes",$B$12,1)</f>
        <v>3140.66689448132</v>
      </c>
      <c r="D98" s="18" t="n">
        <f aca="false">I97/100*$B$7</f>
        <v>211.866323780349</v>
      </c>
      <c r="E98" s="18" t="n">
        <f aca="false">$B$8*IF(B98="Yes",$B$12,1)</f>
        <v>300</v>
      </c>
      <c r="F98" s="18" t="n">
        <f aca="false">IF($B$10&lt;=0,0,$B$9/$B$10)</f>
        <v>0</v>
      </c>
      <c r="G98" s="18" t="n">
        <f aca="false">SUM(C98:F98)</f>
        <v>3652.53321826167</v>
      </c>
      <c r="H98" s="18" t="n">
        <f aca="false">IF(B98="Yes",MAX(0,SUM(G$73:G97)-I97)*$B$13,0)</f>
        <v>0</v>
      </c>
      <c r="I98" s="18" t="n">
        <f aca="false">SUM(AB$103:AB$128)+H98*$B$14/7</f>
        <v>2547.3154836906</v>
      </c>
      <c r="J98" s="45" t="n">
        <f aca="false">$B$26*7*SUMPRODUCT(AB$103:AB$128,1+($B$27-1)*((A98-$A$103:$A$128)&gt;=5))+H98*$B$14*$B$26</f>
        <v>481.233449218636</v>
      </c>
      <c r="K98" s="45" t="n">
        <f aca="false">I98*7*$B$34+E98*$B$31*MIN($B$32,100)*$B$33</f>
        <v>51.827577559851</v>
      </c>
      <c r="L98" s="45" t="n">
        <f aca="false">$B$9</f>
        <v>0</v>
      </c>
      <c r="M98" s="45" t="n">
        <f aca="false">J98+K98-L98</f>
        <v>533.061026778487</v>
      </c>
      <c r="N98" s="45" t="n">
        <f aca="false">N97+M98</f>
        <v>10394.5284131255</v>
      </c>
    </row>
    <row r="99" customFormat="false" ht="15" hidden="false" customHeight="false" outlineLevel="0" collapsed="false">
      <c r="A99" s="16" t="s">
        <v>192</v>
      </c>
      <c r="C99" s="41" t="n">
        <f aca="false">SUM(C73:C98)</f>
        <v>66957.6652696033</v>
      </c>
      <c r="D99" s="41" t="n">
        <f aca="false">SUM(D73:D98)</f>
        <v>2272.23554601131</v>
      </c>
      <c r="E99" s="41" t="n">
        <f aca="false">SUM(E73:E98)</f>
        <v>9000</v>
      </c>
      <c r="F99" s="41" t="n">
        <f aca="false">SUM(F73:F98)</f>
        <v>0</v>
      </c>
      <c r="G99" s="41" t="n">
        <f aca="false">SUM(G73:G98)</f>
        <v>78229.9008156146</v>
      </c>
      <c r="H99" s="41" t="n">
        <f aca="false">SUM(H73:H98)</f>
        <v>13375.9676706325</v>
      </c>
      <c r="J99" s="42" t="n">
        <f aca="false">SUM(J73:J98)</f>
        <v>9066.55204242222</v>
      </c>
      <c r="K99" s="42" t="n">
        <f aca="false">SUM(K73:K98)</f>
        <v>1327.97637070326</v>
      </c>
      <c r="L99" s="42" t="n">
        <f aca="false">SUM(L73:L98)</f>
        <v>0</v>
      </c>
      <c r="M99" s="42" t="n">
        <f aca="false">SUM(M73:M98)</f>
        <v>10394.5284131255</v>
      </c>
    </row>
    <row r="101" customFormat="false" ht="15" hidden="false" customHeight="false" outlineLevel="0" collapsed="false">
      <c r="A101" s="2" t="s">
        <v>364</v>
      </c>
    </row>
    <row r="102" customFormat="false" ht="30" hidden="false" customHeight="true" outlineLevel="0" collapsed="false">
      <c r="A102" s="6" t="s">
        <v>365</v>
      </c>
      <c r="B102" s="6" t="s">
        <v>356</v>
      </c>
      <c r="C102" s="6" t="s">
        <v>366</v>
      </c>
      <c r="D102" s="6" t="s">
        <v>367</v>
      </c>
      <c r="E102" s="6" t="s">
        <v>368</v>
      </c>
      <c r="F102" s="6" t="s">
        <v>369</v>
      </c>
      <c r="G102" s="6" t="s">
        <v>370</v>
      </c>
      <c r="H102" s="6" t="s">
        <v>371</v>
      </c>
      <c r="I102" s="6" t="s">
        <v>372</v>
      </c>
      <c r="J102" s="6" t="s">
        <v>373</v>
      </c>
      <c r="K102" s="6" t="s">
        <v>374</v>
      </c>
      <c r="L102" s="6" t="s">
        <v>375</v>
      </c>
      <c r="M102" s="6" t="s">
        <v>376</v>
      </c>
      <c r="N102" s="6" t="s">
        <v>377</v>
      </c>
      <c r="O102" s="6" t="s">
        <v>378</v>
      </c>
      <c r="P102" s="6" t="s">
        <v>379</v>
      </c>
      <c r="Q102" s="6" t="s">
        <v>380</v>
      </c>
      <c r="R102" s="6" t="s">
        <v>381</v>
      </c>
      <c r="S102" s="6" t="s">
        <v>382</v>
      </c>
      <c r="T102" s="6" t="s">
        <v>383</v>
      </c>
      <c r="U102" s="6" t="s">
        <v>384</v>
      </c>
      <c r="V102" s="6" t="s">
        <v>385</v>
      </c>
      <c r="W102" s="6" t="s">
        <v>386</v>
      </c>
      <c r="X102" s="6" t="s">
        <v>387</v>
      </c>
      <c r="Y102" s="6" t="s">
        <v>388</v>
      </c>
      <c r="Z102" s="6" t="s">
        <v>389</v>
      </c>
      <c r="AA102" s="6" t="s">
        <v>390</v>
      </c>
      <c r="AB102" s="6" t="s">
        <v>391</v>
      </c>
    </row>
    <row r="103" customFormat="false" ht="15" hidden="false" customHeight="false" outlineLevel="0" collapsed="false">
      <c r="A103" s="18" t="n">
        <v>1</v>
      </c>
      <c r="B103" s="18" t="n">
        <f aca="false">G73</f>
        <v>1800</v>
      </c>
      <c r="C103" s="61" t="n">
        <f aca="false">$B103*$B$44</f>
        <v>474.167978077481</v>
      </c>
      <c r="D103" s="61" t="n">
        <f aca="false">$B103*$B$45</f>
        <v>113.230187489273</v>
      </c>
      <c r="E103" s="61" t="n">
        <f aca="false">$B103*$B$46</f>
        <v>79.1853957454315</v>
      </c>
      <c r="F103" s="61" t="n">
        <f aca="false">$B103*$B$47</f>
        <v>62.7637410191654</v>
      </c>
      <c r="G103" s="61" t="n">
        <f aca="false">$B103*$B$48</f>
        <v>52.8197133405379</v>
      </c>
      <c r="H103" s="61" t="n">
        <f aca="false">$B103*$B$49</f>
        <v>46.0470448698434</v>
      </c>
      <c r="I103" s="61" t="n">
        <f aca="false">$B103*$B$50</f>
        <v>41.0877544493481</v>
      </c>
      <c r="J103" s="61" t="n">
        <f aca="false">$B103*$B$51</f>
        <v>37.2728729547821</v>
      </c>
      <c r="K103" s="61" t="n">
        <f aca="false">$B103*$B$52</f>
        <v>34.2315182127263</v>
      </c>
      <c r="L103" s="61" t="n">
        <f aca="false">$B103*$B$53</f>
        <v>31.7401484337765</v>
      </c>
      <c r="M103" s="61" t="n">
        <f aca="false">$B103*$B$54</f>
        <v>29.6553457177249</v>
      </c>
      <c r="N103" s="61" t="n">
        <f aca="false">$B103*$B$55</f>
        <v>27.8805210731883</v>
      </c>
      <c r="O103" s="61" t="n">
        <f aca="false">$B103*$B$56</f>
        <v>26.348046478484</v>
      </c>
      <c r="P103" s="61" t="n">
        <f aca="false">$B103*$B$57</f>
        <v>25.0090397544529</v>
      </c>
      <c r="Q103" s="61" t="n">
        <f aca="false">$B103*$B$58</f>
        <v>23.8272170190536</v>
      </c>
      <c r="R103" s="61" t="n">
        <f aca="false">$B103*$B$59</f>
        <v>22.7750323169097</v>
      </c>
      <c r="S103" s="61" t="n">
        <f aca="false">$B103*$B$60</f>
        <v>21.8311650126884</v>
      </c>
      <c r="T103" s="61" t="n">
        <f aca="false">$B103*$B$61</f>
        <v>20.9788335112787</v>
      </c>
      <c r="U103" s="61" t="n">
        <f aca="false">$B103*$B$62</f>
        <v>20.2046331417235</v>
      </c>
      <c r="V103" s="61" t="n">
        <f aca="false">$B103*$B$63</f>
        <v>19.4977164987774</v>
      </c>
      <c r="W103" s="61" t="n">
        <f aca="false">$B103*$B$64</f>
        <v>18.8492033923986</v>
      </c>
      <c r="X103" s="61" t="n">
        <f aca="false">$B103*$B$65</f>
        <v>18.2517483052075</v>
      </c>
      <c r="Y103" s="61" t="n">
        <f aca="false">$B103*$B$66</f>
        <v>17.6992181221731</v>
      </c>
      <c r="Z103" s="61" t="n">
        <f aca="false">$B103*$B$67</f>
        <v>17.1864484853859</v>
      </c>
      <c r="AA103" s="61" t="n">
        <f aca="false">$B103*$B$68</f>
        <v>16.7090571399917</v>
      </c>
      <c r="AB103" s="61" t="n">
        <f aca="false">$B103*$B$69</f>
        <v>16.2632992111826</v>
      </c>
    </row>
    <row r="104" customFormat="false" ht="15" hidden="false" customHeight="false" outlineLevel="0" collapsed="false">
      <c r="A104" s="18" t="n">
        <v>2</v>
      </c>
      <c r="B104" s="18" t="n">
        <f aca="false">G74</f>
        <v>1868.70839890387</v>
      </c>
      <c r="C104" s="61" t="n">
        <v>0</v>
      </c>
      <c r="D104" s="61" t="n">
        <f aca="false">$B104*$B$44</f>
        <v>492.26760173592</v>
      </c>
      <c r="E104" s="61" t="n">
        <f aca="false">$B104*$B$45</f>
        <v>117.55233465037</v>
      </c>
      <c r="F104" s="61" t="n">
        <f aca="false">$B104*$B$46</f>
        <v>82.2080078333416</v>
      </c>
      <c r="G104" s="61" t="n">
        <f aca="false">$B104*$B$47</f>
        <v>65.1595166606345</v>
      </c>
      <c r="H104" s="61" t="n">
        <f aca="false">$B104*$B$48</f>
        <v>54.8359121928657</v>
      </c>
      <c r="I104" s="61" t="n">
        <f aca="false">$B104*$B$49</f>
        <v>47.8047219405444</v>
      </c>
      <c r="J104" s="61" t="n">
        <f aca="false">$B104*$B$50</f>
        <v>42.6561287953316</v>
      </c>
      <c r="K104" s="61" t="n">
        <f aca="false">$B104*$B$51</f>
        <v>38.6956281899324</v>
      </c>
      <c r="L104" s="61" t="n">
        <f aca="false">$B104*$B$52</f>
        <v>35.5381808840848</v>
      </c>
      <c r="M104" s="61" t="n">
        <f aca="false">$B104*$B$53</f>
        <v>32.9517122003633</v>
      </c>
      <c r="N104" s="61" t="n">
        <f aca="false">$B104*$B$54</f>
        <v>30.7873297861725</v>
      </c>
      <c r="O104" s="61" t="n">
        <f aca="false">$B104*$B$55</f>
        <v>28.9447577196019</v>
      </c>
      <c r="P104" s="61" t="n">
        <f aca="false">$B104*$B$56</f>
        <v>27.3537865272515</v>
      </c>
      <c r="Q104" s="61" t="n">
        <f aca="false">$B104*$B$57</f>
        <v>25.9636681320373</v>
      </c>
      <c r="R104" s="61" t="n">
        <f aca="false">$B104*$B$58</f>
        <v>24.7367336477837</v>
      </c>
      <c r="S104" s="61" t="n">
        <f aca="false">$B104*$B$59</f>
        <v>23.6443856532869</v>
      </c>
      <c r="T104" s="61" t="n">
        <f aca="false">$B104*$B$60</f>
        <v>22.6644896761484</v>
      </c>
      <c r="U104" s="61" t="n">
        <f aca="false">$B104*$B$61</f>
        <v>21.779623545407</v>
      </c>
      <c r="V104" s="61" t="n">
        <f aca="false">$B104*$B$62</f>
        <v>20.9758709159501</v>
      </c>
      <c r="W104" s="61" t="n">
        <f aca="false">$B104*$B$63</f>
        <v>20.2419703226177</v>
      </c>
      <c r="X104" s="61" t="n">
        <f aca="false">$B104*$B$64</f>
        <v>19.5687026066792</v>
      </c>
      <c r="Y104" s="61" t="n">
        <f aca="false">$B104*$B$65</f>
        <v>18.9484418625671</v>
      </c>
      <c r="Z104" s="61" t="n">
        <f aca="false">$B104*$B$66</f>
        <v>18.3748208660759</v>
      </c>
      <c r="AA104" s="61" t="n">
        <f aca="false">$B104*$B$67</f>
        <v>17.8424781288719</v>
      </c>
      <c r="AB104" s="61" t="n">
        <f aca="false">$B104*$B$68</f>
        <v>17.3468641195929</v>
      </c>
    </row>
    <row r="105" customFormat="false" ht="15" hidden="false" customHeight="false" outlineLevel="0" collapsed="false">
      <c r="A105" s="18" t="n">
        <v>3</v>
      </c>
      <c r="B105" s="18" t="n">
        <f aca="false">G75</f>
        <v>1921.62488946126</v>
      </c>
      <c r="C105" s="61" t="n">
        <v>0</v>
      </c>
      <c r="D105" s="61" t="n">
        <v>0</v>
      </c>
      <c r="E105" s="61" t="n">
        <f aca="false">$B105*$B$44</f>
        <v>506.207215810671</v>
      </c>
      <c r="F105" s="61" t="n">
        <f aca="false">$B105*$B$45</f>
        <v>120.881081398751</v>
      </c>
      <c r="G105" s="61" t="n">
        <f aca="false">$B105*$B$46</f>
        <v>84.535904081256</v>
      </c>
      <c r="H105" s="61" t="n">
        <f aca="false">$B105*$B$47</f>
        <v>67.0046482767383</v>
      </c>
      <c r="I105" s="61" t="n">
        <f aca="false">$B105*$B$48</f>
        <v>56.3887087829925</v>
      </c>
      <c r="J105" s="61" t="n">
        <f aca="false">$B105*$B$49</f>
        <v>49.1584152822392</v>
      </c>
      <c r="K105" s="61" t="n">
        <f aca="false">$B105*$B$50</f>
        <v>43.8640286677444</v>
      </c>
      <c r="L105" s="61" t="n">
        <f aca="false">$B105*$B$51</f>
        <v>39.7913779842426</v>
      </c>
      <c r="M105" s="61" t="n">
        <f aca="false">$B105*$B$52</f>
        <v>36.5445207786785</v>
      </c>
      <c r="N105" s="61" t="n">
        <f aca="false">$B105*$B$53</f>
        <v>33.8848106808555</v>
      </c>
      <c r="O105" s="61" t="n">
        <f aca="false">$B105*$B$54</f>
        <v>31.6591391315325</v>
      </c>
      <c r="P105" s="61" t="n">
        <f aca="false">$B105*$B$55</f>
        <v>29.764390680771</v>
      </c>
      <c r="Q105" s="61" t="n">
        <f aca="false">$B105*$B$56</f>
        <v>28.1283677231872</v>
      </c>
      <c r="R105" s="61" t="n">
        <f aca="false">$B105*$B$57</f>
        <v>26.6988851409349</v>
      </c>
      <c r="S105" s="61" t="n">
        <f aca="false">$B105*$B$58</f>
        <v>25.437207372449</v>
      </c>
      <c r="T105" s="61" t="n">
        <f aca="false">$B105*$B$59</f>
        <v>24.3139271991435</v>
      </c>
      <c r="U105" s="61" t="n">
        <f aca="false">$B105*$B$60</f>
        <v>23.3062833635099</v>
      </c>
      <c r="V105" s="61" t="n">
        <f aca="false">$B105*$B$61</f>
        <v>22.3963603484095</v>
      </c>
      <c r="W105" s="61" t="n">
        <f aca="false">$B105*$B$62</f>
        <v>21.5698477375387</v>
      </c>
      <c r="X105" s="61" t="n">
        <f aca="false">$B105*$B$63</f>
        <v>20.8151651731722</v>
      </c>
      <c r="Y105" s="61" t="n">
        <f aca="false">$B105*$B$64</f>
        <v>20.1228324363059</v>
      </c>
      <c r="Z105" s="61" t="n">
        <f aca="false">$B105*$B$65</f>
        <v>19.4850076774829</v>
      </c>
      <c r="AA105" s="61" t="n">
        <f aca="false">$B105*$B$66</f>
        <v>18.8951433708731</v>
      </c>
      <c r="AB105" s="61" t="n">
        <f aca="false">$B105*$B$67</f>
        <v>18.3477262060896</v>
      </c>
    </row>
    <row r="106" customFormat="false" ht="15" hidden="false" customHeight="false" outlineLevel="0" collapsed="false">
      <c r="A106" s="18" t="n">
        <v>4</v>
      </c>
      <c r="B106" s="18" t="n">
        <f aca="false">G76</f>
        <v>2943.78299731032</v>
      </c>
      <c r="C106" s="61" t="n">
        <v>0</v>
      </c>
      <c r="D106" s="61" t="n">
        <v>0</v>
      </c>
      <c r="E106" s="61" t="n">
        <v>0</v>
      </c>
      <c r="F106" s="61" t="n">
        <f aca="false">$B106*$B$44</f>
        <v>775.470906518613</v>
      </c>
      <c r="G106" s="61" t="n">
        <f aca="false">$B106*$B$45</f>
        <v>185.180611507324</v>
      </c>
      <c r="H106" s="61" t="n">
        <f aca="false">$B106*$B$46</f>
        <v>129.502567572606</v>
      </c>
      <c r="I106" s="61" t="n">
        <f aca="false">$B106*$B$47</f>
        <v>102.646018699893</v>
      </c>
      <c r="J106" s="61" t="n">
        <f aca="false">$B106*$B$48</f>
        <v>86.383207808156</v>
      </c>
      <c r="K106" s="61" t="n">
        <f aca="false">$B106*$B$49</f>
        <v>75.3069487579058</v>
      </c>
      <c r="L106" s="61" t="n">
        <f aca="false">$B106*$B$50</f>
        <v>67.1963516364737</v>
      </c>
      <c r="M106" s="61" t="n">
        <f aca="false">$B106*$B$51</f>
        <v>60.9573609251084</v>
      </c>
      <c r="N106" s="61" t="n">
        <f aca="false">$B106*$B$52</f>
        <v>55.9834229370791</v>
      </c>
      <c r="O106" s="61" t="n">
        <f aca="false">$B106*$B$53</f>
        <v>51.9089496063652</v>
      </c>
      <c r="P106" s="61" t="n">
        <f aca="false">$B106*$B$54</f>
        <v>48.4993902795545</v>
      </c>
      <c r="Q106" s="61" t="n">
        <f aca="false">$B106*$B$55</f>
        <v>45.5967799396688</v>
      </c>
      <c r="R106" s="61" t="n">
        <f aca="false">$B106*$B$56</f>
        <v>43.0905173531685</v>
      </c>
      <c r="S106" s="61" t="n">
        <f aca="false">$B106*$B$57</f>
        <v>40.9006588934536</v>
      </c>
      <c r="T106" s="61" t="n">
        <f aca="false">$B106*$B$58</f>
        <v>38.9678646299517</v>
      </c>
      <c r="U106" s="61" t="n">
        <f aca="false">$B106*$B$59</f>
        <v>37.2470849431733</v>
      </c>
      <c r="V106" s="61" t="n">
        <f aca="false">$B106*$B$60</f>
        <v>35.7034513199045</v>
      </c>
      <c r="W106" s="61" t="n">
        <f aca="false">$B106*$B$61</f>
        <v>34.3095185521701</v>
      </c>
      <c r="X106" s="61" t="n">
        <f aca="false">$B106*$B$62</f>
        <v>33.0433641719435</v>
      </c>
      <c r="Y106" s="61" t="n">
        <f aca="false">$B106*$B$63</f>
        <v>31.8872479530432</v>
      </c>
      <c r="Z106" s="61" t="n">
        <f aca="false">$B106*$B$64</f>
        <v>30.8266469218816</v>
      </c>
      <c r="AA106" s="61" t="n">
        <f aca="false">$B106*$B$65</f>
        <v>29.8495479622541</v>
      </c>
      <c r="AB106" s="61" t="n">
        <f aca="false">$B106*$B$66</f>
        <v>28.9459207631889</v>
      </c>
    </row>
    <row r="107" customFormat="false" ht="15" hidden="false" customHeight="false" outlineLevel="0" collapsed="false">
      <c r="A107" s="18" t="n">
        <v>5</v>
      </c>
      <c r="B107" s="18" t="n">
        <f aca="false">G77</f>
        <v>2045.56588934795</v>
      </c>
      <c r="C107" s="61" t="n">
        <v>0</v>
      </c>
      <c r="D107" s="61" t="n">
        <v>0</v>
      </c>
      <c r="E107" s="61" t="n">
        <v>0</v>
      </c>
      <c r="F107" s="61" t="n">
        <v>0</v>
      </c>
      <c r="G107" s="61" t="n">
        <f aca="false">$B107*$B$44</f>
        <v>538.856578764656</v>
      </c>
      <c r="H107" s="61" t="n">
        <f aca="false">$B107*$B$45</f>
        <v>128.677671762517</v>
      </c>
      <c r="I107" s="61" t="n">
        <f aca="false">$B107*$B$46</f>
        <v>89.988302484096</v>
      </c>
      <c r="J107" s="61" t="n">
        <f aca="false">$B107*$B$47</f>
        <v>71.326315398152</v>
      </c>
      <c r="K107" s="61" t="n">
        <f aca="false">$B107*$B$48</f>
        <v>60.0256688303007</v>
      </c>
      <c r="L107" s="61" t="n">
        <f aca="false">$B107*$B$49</f>
        <v>52.3290357172367</v>
      </c>
      <c r="M107" s="61" t="n">
        <f aca="false">$B107*$B$50</f>
        <v>46.6931716508283</v>
      </c>
      <c r="N107" s="61" t="n">
        <f aca="false">$B107*$B$51</f>
        <v>42.357843063501</v>
      </c>
      <c r="O107" s="61" t="n">
        <f aca="false">$B107*$B$52</f>
        <v>38.9015699980811</v>
      </c>
      <c r="P107" s="61" t="n">
        <f aca="false">$B107*$B$53</f>
        <v>36.0703138660967</v>
      </c>
      <c r="Q107" s="61" t="n">
        <f aca="false">$B107*$B$54</f>
        <v>33.7010909094438</v>
      </c>
      <c r="R107" s="61" t="n">
        <f aca="false">$B107*$B$55</f>
        <v>31.684134935867</v>
      </c>
      <c r="S107" s="61" t="n">
        <f aca="false">$B107*$B$56</f>
        <v>29.9425917374118</v>
      </c>
      <c r="T107" s="61" t="n">
        <f aca="false">$B107*$B$57</f>
        <v>28.4209103594754</v>
      </c>
      <c r="U107" s="61" t="n">
        <f aca="false">$B107*$B$58</f>
        <v>27.0778568734816</v>
      </c>
      <c r="V107" s="61" t="n">
        <f aca="false">$B107*$B$59</f>
        <v>25.8821273534821</v>
      </c>
      <c r="W107" s="61" t="n">
        <f aca="false">$B107*$B$60</f>
        <v>24.8094924859343</v>
      </c>
      <c r="X107" s="61" t="n">
        <f aca="false">$B107*$B$61</f>
        <v>23.840881238323</v>
      </c>
      <c r="Y107" s="61" t="n">
        <f aca="false">$B107*$B$62</f>
        <v>22.9610602008326</v>
      </c>
      <c r="Z107" s="61" t="n">
        <f aca="false">$B107*$B$63</f>
        <v>22.1577021055976</v>
      </c>
      <c r="AA107" s="61" t="n">
        <f aca="false">$B107*$B$64</f>
        <v>21.4207152782623</v>
      </c>
      <c r="AB107" s="61" t="n">
        <f aca="false">$B107*$B$65</f>
        <v>20.7417520856093</v>
      </c>
    </row>
    <row r="108" customFormat="false" ht="15" hidden="false" customHeight="false" outlineLevel="0" collapsed="false">
      <c r="A108" s="18" t="n">
        <v>6</v>
      </c>
      <c r="B108" s="18" t="n">
        <f aca="false">G78</f>
        <v>2085.23872766772</v>
      </c>
      <c r="C108" s="61" t="n">
        <v>0</v>
      </c>
      <c r="D108" s="61" t="n">
        <v>0</v>
      </c>
      <c r="E108" s="61" t="n">
        <v>0</v>
      </c>
      <c r="F108" s="61" t="n">
        <v>0</v>
      </c>
      <c r="G108" s="61" t="n">
        <v>0</v>
      </c>
      <c r="H108" s="61" t="n">
        <f aca="false">$B108*$B$44</f>
        <v>549.307461837257</v>
      </c>
      <c r="I108" s="61" t="n">
        <f aca="false">$B108*$B$45</f>
        <v>131.173317829839</v>
      </c>
      <c r="J108" s="61" t="n">
        <f aca="false">$B108*$B$46</f>
        <v>91.7335854855936</v>
      </c>
      <c r="K108" s="61" t="n">
        <f aca="false">$B108*$B$47</f>
        <v>72.7096574813727</v>
      </c>
      <c r="L108" s="61" t="n">
        <f aca="false">$B108*$B$48</f>
        <v>61.1898399122206</v>
      </c>
      <c r="M108" s="61" t="n">
        <f aca="false">$B108*$B$49</f>
        <v>53.3439340318059</v>
      </c>
      <c r="N108" s="61" t="n">
        <f aca="false">$B108*$B$50</f>
        <v>47.5987648948235</v>
      </c>
      <c r="O108" s="61" t="n">
        <f aca="false">$B108*$B$51</f>
        <v>43.1793545426391</v>
      </c>
      <c r="P108" s="61" t="n">
        <f aca="false">$B108*$B$52</f>
        <v>39.6560486022443</v>
      </c>
      <c r="Q108" s="61" t="n">
        <f aca="false">$B108*$B$53</f>
        <v>36.7698815200182</v>
      </c>
      <c r="R108" s="61" t="n">
        <f aca="false">$B108*$B$54</f>
        <v>34.3547085405417</v>
      </c>
      <c r="S108" s="61" t="n">
        <f aca="false">$B108*$B$55</f>
        <v>32.2986346052046</v>
      </c>
      <c r="T108" s="61" t="n">
        <f aca="false">$B108*$B$56</f>
        <v>30.5233149529577</v>
      </c>
      <c r="U108" s="61" t="n">
        <f aca="false">$B108*$B$57</f>
        <v>28.9721212432038</v>
      </c>
      <c r="V108" s="61" t="n">
        <f aca="false">$B108*$B$58</f>
        <v>27.6030198337077</v>
      </c>
      <c r="W108" s="61" t="n">
        <f aca="false">$B108*$B$59</f>
        <v>26.3840996728356</v>
      </c>
      <c r="X108" s="61" t="n">
        <f aca="false">$B108*$B$60</f>
        <v>25.2906615303124</v>
      </c>
      <c r="Y108" s="61" t="n">
        <f aca="false">$B108*$B$61</f>
        <v>24.3032644994509</v>
      </c>
      <c r="Z108" s="61" t="n">
        <f aca="false">$B108*$B$62</f>
        <v>23.4063797252447</v>
      </c>
      <c r="AA108" s="61" t="n">
        <f aca="false">$B108*$B$63</f>
        <v>22.5874408579647</v>
      </c>
      <c r="AB108" s="61" t="n">
        <f aca="false">$B108*$B$64</f>
        <v>21.8361604997307</v>
      </c>
    </row>
    <row r="109" customFormat="false" ht="15" hidden="false" customHeight="false" outlineLevel="0" collapsed="false">
      <c r="A109" s="18" t="n">
        <v>7</v>
      </c>
      <c r="B109" s="18" t="n">
        <f aca="false">G79</f>
        <v>3185.38643251584</v>
      </c>
      <c r="C109" s="61" t="n">
        <v>0</v>
      </c>
      <c r="D109" s="61" t="n">
        <v>0</v>
      </c>
      <c r="E109" s="61" t="n">
        <v>0</v>
      </c>
      <c r="F109" s="61" t="n">
        <v>0</v>
      </c>
      <c r="G109" s="61" t="n">
        <v>0</v>
      </c>
      <c r="H109" s="61" t="n">
        <v>0</v>
      </c>
      <c r="I109" s="61" t="n">
        <f aca="false">$B109*$B$44</f>
        <v>839.115691167487</v>
      </c>
      <c r="J109" s="61" t="n">
        <f aca="false">$B109*$B$45</f>
        <v>200.378834988642</v>
      </c>
      <c r="K109" s="61" t="n">
        <f aca="false">$B109*$B$46</f>
        <v>140.131158478275</v>
      </c>
      <c r="L109" s="61" t="n">
        <f aca="false">$B109*$B$47</f>
        <v>111.070427275771</v>
      </c>
      <c r="M109" s="61" t="n">
        <f aca="false">$B109*$B$48</f>
        <v>93.4728879135141</v>
      </c>
      <c r="N109" s="61" t="n">
        <f aca="false">$B109*$B$49</f>
        <v>81.4875733254707</v>
      </c>
      <c r="O109" s="61" t="n">
        <f aca="false">$B109*$B$50</f>
        <v>72.7113197586088</v>
      </c>
      <c r="P109" s="61" t="n">
        <f aca="false">$B109*$B$51</f>
        <v>65.9602798950274</v>
      </c>
      <c r="Q109" s="61" t="n">
        <f aca="false">$B109*$B$52</f>
        <v>60.5781187106874</v>
      </c>
      <c r="R109" s="61" t="n">
        <f aca="false">$B109*$B$53</f>
        <v>56.1692434372171</v>
      </c>
      <c r="S109" s="61" t="n">
        <f aca="false">$B109*$B$54</f>
        <v>52.4798532782265</v>
      </c>
      <c r="T109" s="61" t="n">
        <f aca="false">$B109*$B$55</f>
        <v>49.3390186433367</v>
      </c>
      <c r="U109" s="61" t="n">
        <f aca="false">$B109*$B$56</f>
        <v>46.6270609865887</v>
      </c>
      <c r="V109" s="61" t="n">
        <f aca="false">$B109*$B$57</f>
        <v>44.2574755133798</v>
      </c>
      <c r="W109" s="61" t="n">
        <f aca="false">$B109*$B$58</f>
        <v>42.1660521206132</v>
      </c>
      <c r="X109" s="61" t="n">
        <f aca="false">$B109*$B$59</f>
        <v>40.3040438568856</v>
      </c>
      <c r="Y109" s="61" t="n">
        <f aca="false">$B109*$B$60</f>
        <v>38.63372046524</v>
      </c>
      <c r="Z109" s="61" t="n">
        <f aca="false">$B109*$B$61</f>
        <v>37.1253842426865</v>
      </c>
      <c r="AA109" s="61" t="n">
        <f aca="false">$B109*$B$62</f>
        <v>35.7553134908921</v>
      </c>
      <c r="AB109" s="61" t="n">
        <f aca="false">$B109*$B$63</f>
        <v>34.5043120001365</v>
      </c>
    </row>
    <row r="110" customFormat="false" ht="15" hidden="false" customHeight="false" outlineLevel="0" collapsed="false">
      <c r="A110" s="18" t="n">
        <v>8</v>
      </c>
      <c r="B110" s="18" t="n">
        <f aca="false">G80</f>
        <v>2222.74553704378</v>
      </c>
      <c r="C110" s="61" t="n">
        <v>0</v>
      </c>
      <c r="D110" s="61" t="n">
        <v>0</v>
      </c>
      <c r="E110" s="61" t="n">
        <v>0</v>
      </c>
      <c r="F110" s="61" t="n">
        <v>0</v>
      </c>
      <c r="G110" s="61" t="n">
        <v>0</v>
      </c>
      <c r="H110" s="61" t="n">
        <v>0</v>
      </c>
      <c r="I110" s="61" t="n">
        <v>0</v>
      </c>
      <c r="J110" s="61" t="n">
        <f aca="false">$B110*$B$44</f>
        <v>585.530420600441</v>
      </c>
      <c r="K110" s="61" t="n">
        <f aca="false">$B110*$B$45</f>
        <v>139.823274389118</v>
      </c>
      <c r="L110" s="61" t="n">
        <f aca="false">$B110*$B$46</f>
        <v>97.7827694401129</v>
      </c>
      <c r="M110" s="61" t="n">
        <f aca="false">$B110*$B$47</f>
        <v>77.5043473547342</v>
      </c>
      <c r="N110" s="61" t="n">
        <f aca="false">$B110*$B$48</f>
        <v>65.2248789420069</v>
      </c>
      <c r="O110" s="61" t="n">
        <f aca="false">$B110*$B$49</f>
        <v>56.8615908213884</v>
      </c>
      <c r="P110" s="61" t="n">
        <f aca="false">$B110*$B$50</f>
        <v>50.7375682385773</v>
      </c>
      <c r="Q110" s="61" t="n">
        <f aca="false">$B110*$B$51</f>
        <v>46.0267288961342</v>
      </c>
      <c r="R110" s="61" t="n">
        <f aca="false">$B110*$B$52</f>
        <v>42.2710857408723</v>
      </c>
      <c r="S110" s="61" t="n">
        <f aca="false">$B110*$B$53</f>
        <v>39.1945962646022</v>
      </c>
      <c r="T110" s="61" t="n">
        <f aca="false">$B110*$B$54</f>
        <v>36.620159635313</v>
      </c>
      <c r="U110" s="61" t="n">
        <f aca="false">$B110*$B$55</f>
        <v>34.4285021032691</v>
      </c>
      <c r="V110" s="61" t="n">
        <f aca="false">$B110*$B$56</f>
        <v>32.5361126221513</v>
      </c>
      <c r="W110" s="61" t="n">
        <f aca="false">$B110*$B$57</f>
        <v>30.8826286110893</v>
      </c>
      <c r="X110" s="61" t="n">
        <f aca="false">$B110*$B$58</f>
        <v>29.4232446051527</v>
      </c>
      <c r="Y110" s="61" t="n">
        <f aca="false">$B110*$B$59</f>
        <v>28.1239452435772</v>
      </c>
      <c r="Z110" s="61" t="n">
        <f aca="false">$B110*$B$60</f>
        <v>26.9584025557885</v>
      </c>
      <c r="AA110" s="61" t="n">
        <f aca="false">$B110*$B$61</f>
        <v>25.9058936442106</v>
      </c>
      <c r="AB110" s="61" t="n">
        <f aca="false">$B110*$B$62</f>
        <v>24.949865635207</v>
      </c>
    </row>
    <row r="111" customFormat="false" ht="15" hidden="false" customHeight="false" outlineLevel="0" collapsed="false">
      <c r="A111" s="18" t="n">
        <v>9</v>
      </c>
      <c r="B111" s="18" t="n">
        <f aca="false">G81</f>
        <v>2258.37711114709</v>
      </c>
      <c r="C111" s="61" t="n">
        <v>0</v>
      </c>
      <c r="D111" s="61" t="n">
        <v>0</v>
      </c>
      <c r="E111" s="61" t="n">
        <v>0</v>
      </c>
      <c r="F111" s="61" t="n">
        <v>0</v>
      </c>
      <c r="G111" s="61" t="n">
        <v>0</v>
      </c>
      <c r="H111" s="61" t="n">
        <v>0</v>
      </c>
      <c r="I111" s="61" t="n">
        <v>0</v>
      </c>
      <c r="J111" s="61" t="n">
        <v>0</v>
      </c>
      <c r="K111" s="61" t="n">
        <f aca="false">$B111*$B$44</f>
        <v>594.916726960599</v>
      </c>
      <c r="L111" s="61" t="n">
        <f aca="false">$B111*$B$45</f>
        <v>142.064702064816</v>
      </c>
      <c r="M111" s="61" t="n">
        <f aca="false">$B111*$B$46</f>
        <v>99.3502696047815</v>
      </c>
      <c r="N111" s="61" t="n">
        <f aca="false">$B111*$B$47</f>
        <v>78.7467756264706</v>
      </c>
      <c r="O111" s="61" t="n">
        <f aca="false">$B111*$B$48</f>
        <v>66.2704620142342</v>
      </c>
      <c r="P111" s="61" t="n">
        <f aca="false">$B111*$B$49</f>
        <v>57.7731067611208</v>
      </c>
      <c r="Q111" s="61" t="n">
        <f aca="false">$B111*$B$50</f>
        <v>51.5509134426888</v>
      </c>
      <c r="R111" s="61" t="n">
        <f aca="false">$B111*$B$51</f>
        <v>46.7645573043185</v>
      </c>
      <c r="S111" s="61" t="n">
        <f aca="false">$B111*$B$52</f>
        <v>42.9487095619088</v>
      </c>
      <c r="T111" s="61" t="n">
        <f aca="false">$B111*$B$53</f>
        <v>39.8229026262512</v>
      </c>
      <c r="U111" s="61" t="n">
        <f aca="false">$B111*$B$54</f>
        <v>37.2071966622577</v>
      </c>
      <c r="V111" s="61" t="n">
        <f aca="false">$B111*$B$55</f>
        <v>34.9804059103015</v>
      </c>
      <c r="W111" s="61" t="n">
        <f aca="false">$B111*$B$56</f>
        <v>33.0576806058044</v>
      </c>
      <c r="X111" s="61" t="n">
        <f aca="false">$B111*$B$57</f>
        <v>31.377690529569</v>
      </c>
      <c r="Y111" s="61" t="n">
        <f aca="false">$B111*$B$58</f>
        <v>29.8949119656472</v>
      </c>
      <c r="Z111" s="61" t="n">
        <f aca="false">$B111*$B$59</f>
        <v>28.5747842723024</v>
      </c>
      <c r="AA111" s="61" t="n">
        <f aca="false">$B111*$B$60</f>
        <v>27.3905574301837</v>
      </c>
      <c r="AB111" s="61" t="n">
        <f aca="false">$B111*$B$61</f>
        <v>26.3211763446874</v>
      </c>
    </row>
    <row r="112" customFormat="false" ht="15" hidden="false" customHeight="false" outlineLevel="0" collapsed="false">
      <c r="A112" s="18" t="n">
        <v>10</v>
      </c>
      <c r="B112" s="18" t="n">
        <f aca="false">G82</f>
        <v>3445.7248941142</v>
      </c>
      <c r="C112" s="61" t="n">
        <v>0</v>
      </c>
      <c r="D112" s="61" t="n">
        <v>0</v>
      </c>
      <c r="E112" s="61" t="n">
        <v>0</v>
      </c>
      <c r="F112" s="61" t="n">
        <v>0</v>
      </c>
      <c r="G112" s="61" t="n">
        <v>0</v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f aca="false">$B112*$B$44</f>
        <v>907.695781140762</v>
      </c>
      <c r="M112" s="61" t="n">
        <f aca="false">$B112*$B$45</f>
        <v>216.755597665004</v>
      </c>
      <c r="N112" s="61" t="n">
        <f aca="false">$B112*$B$46</f>
        <v>151.583938539065</v>
      </c>
      <c r="O112" s="61" t="n">
        <f aca="false">$B112*$B$47</f>
        <v>120.148102709708</v>
      </c>
      <c r="P112" s="61" t="n">
        <f aca="false">$B112*$B$48</f>
        <v>101.112333976371</v>
      </c>
      <c r="Q112" s="61" t="n">
        <f aca="false">$B112*$B$49</f>
        <v>88.1474715602294</v>
      </c>
      <c r="R112" s="61" t="n">
        <f aca="false">$B112*$B$50</f>
        <v>78.6539435274279</v>
      </c>
      <c r="S112" s="61" t="n">
        <f aca="false">$B112*$B$51</f>
        <v>71.3511478974713</v>
      </c>
      <c r="T112" s="61" t="n">
        <f aca="false">$B112*$B$52</f>
        <v>65.5291080382859</v>
      </c>
      <c r="U112" s="61" t="n">
        <f aca="false">$B112*$B$53</f>
        <v>60.7598997784132</v>
      </c>
      <c r="V112" s="61" t="n">
        <f aca="false">$B112*$B$54</f>
        <v>56.7689794350709</v>
      </c>
      <c r="W112" s="61" t="n">
        <f aca="false">$B112*$B$55</f>
        <v>53.3714475126447</v>
      </c>
      <c r="X112" s="61" t="n">
        <f aca="false">$B112*$B$56</f>
        <v>50.4378442567723</v>
      </c>
      <c r="Y112" s="61" t="n">
        <f aca="false">$B112*$B$57</f>
        <v>47.8745949221167</v>
      </c>
      <c r="Z112" s="61" t="n">
        <f aca="false">$B112*$B$58</f>
        <v>45.6122415777858</v>
      </c>
      <c r="AA112" s="61" t="n">
        <f aca="false">$B112*$B$59</f>
        <v>43.5980532325729</v>
      </c>
      <c r="AB112" s="61" t="n">
        <f aca="false">$B112*$B$60</f>
        <v>41.7912159731863</v>
      </c>
    </row>
    <row r="113" customFormat="false" ht="15" hidden="false" customHeight="false" outlineLevel="0" collapsed="false">
      <c r="A113" s="18" t="n">
        <v>11</v>
      </c>
      <c r="B113" s="18" t="n">
        <f aca="false">G83</f>
        <v>2413.69277692648</v>
      </c>
      <c r="C113" s="61" t="n">
        <v>0</v>
      </c>
      <c r="D113" s="61" t="n">
        <v>0</v>
      </c>
      <c r="E113" s="61" t="n">
        <v>0</v>
      </c>
      <c r="F113" s="61" t="n">
        <v>0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f aca="false">$B113*$B$44</f>
        <v>635.83101318636</v>
      </c>
      <c r="N113" s="61" t="n">
        <f aca="false">$B113*$B$45</f>
        <v>151.834936484939</v>
      </c>
      <c r="O113" s="61" t="n">
        <f aca="false">$B113*$B$46</f>
        <v>106.18289874934</v>
      </c>
      <c r="P113" s="61" t="n">
        <f aca="false">$B113*$B$47</f>
        <v>84.1624379726909</v>
      </c>
      <c r="Q113" s="61" t="n">
        <f aca="false">$B113*$B$48</f>
        <v>70.828089205213</v>
      </c>
      <c r="R113" s="61" t="n">
        <f aca="false">$B113*$B$49</f>
        <v>61.7463442228613</v>
      </c>
      <c r="S113" s="61" t="n">
        <f aca="false">$B113*$B$50</f>
        <v>55.0962311858446</v>
      </c>
      <c r="T113" s="61" t="n">
        <f aca="false">$B113*$B$51</f>
        <v>49.9807023479198</v>
      </c>
      <c r="U113" s="61" t="n">
        <f aca="false">$B113*$B$52</f>
        <v>45.9024268073803</v>
      </c>
      <c r="V113" s="61" t="n">
        <f aca="false">$B113*$B$53</f>
        <v>42.5616483406559</v>
      </c>
      <c r="W113" s="61" t="n">
        <f aca="false">$B113*$B$54</f>
        <v>39.7660520867389</v>
      </c>
      <c r="X113" s="61" t="n">
        <f aca="false">$B113*$B$55</f>
        <v>37.3861179618339</v>
      </c>
      <c r="Y113" s="61" t="n">
        <f aca="false">$B113*$B$56</f>
        <v>35.3311608173555</v>
      </c>
      <c r="Z113" s="61" t="n">
        <f aca="false">$B113*$B$57</f>
        <v>33.5356325628834</v>
      </c>
      <c r="AA113" s="61" t="n">
        <f aca="false">$B113*$B$58</f>
        <v>31.9508786739718</v>
      </c>
      <c r="AB113" s="61" t="n">
        <f aca="false">$B113*$B$59</f>
        <v>30.5399616653289</v>
      </c>
    </row>
    <row r="114" customFormat="false" ht="15" hidden="false" customHeight="false" outlineLevel="0" collapsed="false">
      <c r="A114" s="18" t="n">
        <v>12</v>
      </c>
      <c r="B114" s="18" t="n">
        <f aca="false">G84</f>
        <v>2445.50381413811</v>
      </c>
      <c r="C114" s="61" t="n">
        <v>0</v>
      </c>
      <c r="D114" s="61" t="n">
        <v>0</v>
      </c>
      <c r="E114" s="61" t="n">
        <v>0</v>
      </c>
      <c r="F114" s="61" t="n">
        <v>0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f aca="false">$B114*$B$44</f>
        <v>644.210888294799</v>
      </c>
      <c r="O114" s="61" t="n">
        <f aca="false">$B114*$B$45</f>
        <v>153.836030766995</v>
      </c>
      <c r="P114" s="61" t="n">
        <f aca="false">$B114*$B$46</f>
        <v>107.582326288605</v>
      </c>
      <c r="Q114" s="61" t="n">
        <f aca="false">$B114*$B$47</f>
        <v>85.2716489177477</v>
      </c>
      <c r="R114" s="61" t="n">
        <f aca="false">$B114*$B$48</f>
        <v>71.7615613533152</v>
      </c>
      <c r="S114" s="61" t="n">
        <f aca="false">$B114*$B$49</f>
        <v>62.5601243661061</v>
      </c>
      <c r="T114" s="61" t="n">
        <f aca="false">$B114*$B$50</f>
        <v>55.8223667890284</v>
      </c>
      <c r="U114" s="61" t="n">
        <f aca="false">$B114*$B$51</f>
        <v>50.639418319336</v>
      </c>
      <c r="V114" s="61" t="n">
        <f aca="false">$B114*$B$52</f>
        <v>46.5073935294225</v>
      </c>
      <c r="W114" s="61" t="n">
        <f aca="false">$B114*$B$53</f>
        <v>43.122585586728</v>
      </c>
      <c r="X114" s="61" t="n">
        <f aca="false">$B114*$B$54</f>
        <v>40.2901450346004</v>
      </c>
      <c r="Y114" s="61" t="n">
        <f aca="false">$B114*$B$55</f>
        <v>37.8788447914667</v>
      </c>
      <c r="Z114" s="61" t="n">
        <f aca="false">$B114*$B$56</f>
        <v>35.7968045323449</v>
      </c>
      <c r="AA114" s="61" t="n">
        <f aca="false">$B114*$B$57</f>
        <v>33.9776122819146</v>
      </c>
      <c r="AB114" s="61" t="n">
        <f aca="false">$B114*$B$58</f>
        <v>32.3719722779956</v>
      </c>
    </row>
    <row r="115" customFormat="false" ht="15" hidden="false" customHeight="false" outlineLevel="0" collapsed="false">
      <c r="A115" s="18" t="n">
        <v>13</v>
      </c>
      <c r="B115" s="18" t="n">
        <f aca="false">G85</f>
        <v>3728.54107958632</v>
      </c>
      <c r="C115" s="61" t="n">
        <v>0</v>
      </c>
      <c r="D115" s="61" t="n">
        <v>0</v>
      </c>
      <c r="E115" s="61" t="n">
        <v>0</v>
      </c>
      <c r="F115" s="61" t="n">
        <v>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f aca="false">$B115*$B$44</f>
        <v>982.197102714597</v>
      </c>
      <c r="P115" s="61" t="n">
        <f aca="false">$B115*$B$45</f>
        <v>234.546336390565</v>
      </c>
      <c r="Q115" s="61" t="n">
        <f aca="false">$B115*$B$46</f>
        <v>164.025556077856</v>
      </c>
      <c r="R115" s="61" t="n">
        <f aca="false">$B115*$B$47</f>
        <v>130.00954816582</v>
      </c>
      <c r="S115" s="61" t="n">
        <f aca="false">$B115*$B$48</f>
        <v>109.411372778983</v>
      </c>
      <c r="T115" s="61" t="n">
        <f aca="false">$B115*$B$49</f>
        <v>95.3823879948698</v>
      </c>
      <c r="U115" s="61" t="n">
        <f aca="false">$B115*$B$50</f>
        <v>85.1096557401945</v>
      </c>
      <c r="V115" s="61" t="n">
        <f aca="false">$B115*$B$51</f>
        <v>77.2074655367261</v>
      </c>
      <c r="W115" s="61" t="n">
        <f aca="false">$B115*$B$52</f>
        <v>70.9075677070874</v>
      </c>
      <c r="X115" s="61" t="n">
        <f aca="false">$B115*$B$53</f>
        <v>65.7469151708352</v>
      </c>
      <c r="Y115" s="61" t="n">
        <f aca="false">$B115*$B$54</f>
        <v>61.4284304099287</v>
      </c>
      <c r="Z115" s="61" t="n">
        <f aca="false">$B115*$B$55</f>
        <v>57.7520378564749</v>
      </c>
      <c r="AA115" s="61" t="n">
        <f aca="false">$B115*$B$56</f>
        <v>54.5776520343762</v>
      </c>
      <c r="AB115" s="61" t="n">
        <f aca="false">$B115*$B$57</f>
        <v>51.8040178252695</v>
      </c>
    </row>
    <row r="116" customFormat="false" ht="15" hidden="false" customHeight="false" outlineLevel="0" collapsed="false">
      <c r="A116" s="18" t="n">
        <v>14</v>
      </c>
      <c r="B116" s="18" t="n">
        <f aca="false">G86</f>
        <v>2620.92743262606</v>
      </c>
      <c r="C116" s="61" t="n">
        <v>0</v>
      </c>
      <c r="D116" s="61" t="n">
        <v>0</v>
      </c>
      <c r="E116" s="61" t="n">
        <v>0</v>
      </c>
      <c r="F116" s="61" t="n">
        <v>0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f aca="false">$B116*$B$44</f>
        <v>690.422145231169</v>
      </c>
      <c r="Q116" s="61" t="n">
        <f aca="false">$B116*$B$45</f>
        <v>164.871169217794</v>
      </c>
      <c r="R116" s="61" t="n">
        <f aca="false">$B116*$B$46</f>
        <v>115.299542206974</v>
      </c>
      <c r="S116" s="61" t="n">
        <f aca="false">$B116*$B$47</f>
        <v>91.3884503396491</v>
      </c>
      <c r="T116" s="61" t="n">
        <f aca="false">$B116*$B$48</f>
        <v>76.9092420431448</v>
      </c>
      <c r="U116" s="61" t="n">
        <f aca="false">$B116*$B$49</f>
        <v>67.047757272631</v>
      </c>
      <c r="V116" s="61" t="n">
        <f aca="false">$B116*$B$50</f>
        <v>59.8266793229445</v>
      </c>
      <c r="W116" s="61" t="n">
        <f aca="false">$B116*$B$51</f>
        <v>54.2719417888746</v>
      </c>
      <c r="X116" s="61" t="n">
        <f aca="false">$B116*$B$52</f>
        <v>49.843513968985</v>
      </c>
      <c r="Y116" s="61" t="n">
        <f aca="false">$B116*$B$53</f>
        <v>46.2159031920601</v>
      </c>
      <c r="Z116" s="61" t="n">
        <f aca="false">$B116*$B$54</f>
        <v>43.1802828419973</v>
      </c>
      <c r="AA116" s="61" t="n">
        <f aca="false">$B116*$B$55</f>
        <v>40.5960125092379</v>
      </c>
      <c r="AB116" s="61" t="n">
        <f aca="false">$B116*$B$56</f>
        <v>38.3646210064251</v>
      </c>
    </row>
    <row r="117" customFormat="false" ht="15" hidden="false" customHeight="false" outlineLevel="0" collapsed="false">
      <c r="A117" s="18" t="n">
        <v>15</v>
      </c>
      <c r="B117" s="18" t="n">
        <f aca="false">G87</f>
        <v>2648.81706250589</v>
      </c>
      <c r="C117" s="61" t="n">
        <v>0</v>
      </c>
      <c r="D117" s="61" t="n">
        <v>0</v>
      </c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f aca="false">$B117*$B$44</f>
        <v>697.769017125306</v>
      </c>
      <c r="R117" s="61" t="n">
        <f aca="false">$B117*$B$45</f>
        <v>166.625584784627</v>
      </c>
      <c r="S117" s="61" t="n">
        <f aca="false">$B117*$B$46</f>
        <v>116.526459639878</v>
      </c>
      <c r="T117" s="61" t="n">
        <f aca="false">$B117*$B$47</f>
        <v>92.3609267323702</v>
      </c>
      <c r="U117" s="61" t="n">
        <f aca="false">$B117*$B$48</f>
        <v>77.7276432961594</v>
      </c>
      <c r="V117" s="61" t="n">
        <f aca="false">$B117*$B$49</f>
        <v>67.7612211828975</v>
      </c>
      <c r="W117" s="61" t="n">
        <f aca="false">$B117*$B$50</f>
        <v>60.4633028030476</v>
      </c>
      <c r="X117" s="61" t="n">
        <f aca="false">$B117*$B$51</f>
        <v>54.8494565840228</v>
      </c>
      <c r="Y117" s="61" t="n">
        <f aca="false">$B117*$B$52</f>
        <v>50.373905287417</v>
      </c>
      <c r="Z117" s="61" t="n">
        <f aca="false">$B117*$B$53</f>
        <v>46.7076926321428</v>
      </c>
      <c r="AA117" s="61" t="n">
        <f aca="false">$B117*$B$54</f>
        <v>43.6397698509004</v>
      </c>
      <c r="AB117" s="61" t="n">
        <f aca="false">$B117*$B$55</f>
        <v>41.0279999612313</v>
      </c>
    </row>
    <row r="118" customFormat="false" ht="15" hidden="false" customHeight="false" outlineLevel="0" collapsed="false">
      <c r="A118" s="18" t="n">
        <v>16</v>
      </c>
      <c r="B118" s="18" t="n">
        <f aca="false">G88</f>
        <v>4036.57947327157</v>
      </c>
      <c r="C118" s="61" t="n">
        <v>0</v>
      </c>
      <c r="D118" s="61" t="n">
        <v>0</v>
      </c>
      <c r="E118" s="61" t="n">
        <v>0</v>
      </c>
      <c r="F118" s="61" t="n">
        <v>0</v>
      </c>
      <c r="G118" s="61" t="n">
        <v>0</v>
      </c>
      <c r="H118" s="61" t="n">
        <v>0</v>
      </c>
      <c r="I118" s="61" t="n">
        <v>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f aca="false">$B118*$B$44</f>
        <v>1063.3426262168</v>
      </c>
      <c r="S118" s="61" t="n">
        <f aca="false">$B118*$B$45</f>
        <v>253.923694763274</v>
      </c>
      <c r="T118" s="61" t="n">
        <f aca="false">$B118*$B$46</f>
        <v>177.576746138275</v>
      </c>
      <c r="U118" s="61" t="n">
        <f aca="false">$B118*$B$47</f>
        <v>140.75046036872</v>
      </c>
      <c r="V118" s="61" t="n">
        <f aca="false">$B118*$B$48</f>
        <v>118.450539252502</v>
      </c>
      <c r="W118" s="61" t="n">
        <f aca="false">$B118*$B$49</f>
        <v>103.262531181347</v>
      </c>
      <c r="X118" s="61" t="n">
        <f aca="false">$B118*$B$50</f>
        <v>92.1411034517008</v>
      </c>
      <c r="Y118" s="61" t="n">
        <f aca="false">$B118*$B$51</f>
        <v>83.5860632661847</v>
      </c>
      <c r="Z118" s="61" t="n">
        <f aca="false">$B118*$B$52</f>
        <v>76.765690975785</v>
      </c>
      <c r="AA118" s="61" t="n">
        <f aca="false">$B118*$B$53</f>
        <v>71.1786842479863</v>
      </c>
      <c r="AB118" s="61" t="n">
        <f aca="false">$B118*$B$54</f>
        <v>66.5034221094113</v>
      </c>
    </row>
    <row r="119" customFormat="false" ht="15" hidden="false" customHeight="false" outlineLevel="0" collapsed="false">
      <c r="A119" s="18" t="n">
        <v>17</v>
      </c>
      <c r="B119" s="18" t="n">
        <f aca="false">G89</f>
        <v>2846.44269822677</v>
      </c>
      <c r="C119" s="61" t="n">
        <v>0</v>
      </c>
      <c r="D119" s="61" t="n">
        <v>0</v>
      </c>
      <c r="E119" s="61" t="n">
        <v>0</v>
      </c>
      <c r="F119" s="61" t="n">
        <v>0</v>
      </c>
      <c r="G119" s="61" t="n">
        <v>0</v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f aca="false">$B119*$B$44</f>
        <v>749.828877184222</v>
      </c>
      <c r="T119" s="61" t="n">
        <f aca="false">$B119*$B$45</f>
        <v>179.057355776495</v>
      </c>
      <c r="U119" s="61" t="n">
        <f aca="false">$B119*$B$46</f>
        <v>125.220384180989</v>
      </c>
      <c r="V119" s="61" t="n">
        <f aca="false">$B119*$B$47</f>
        <v>99.2518846318887</v>
      </c>
      <c r="W119" s="61" t="n">
        <f aca="false">$B119*$B$48</f>
        <v>83.5268263114475</v>
      </c>
      <c r="X119" s="61" t="n">
        <f aca="false">$B119*$B$49</f>
        <v>72.816819247048</v>
      </c>
      <c r="Y119" s="61" t="n">
        <f aca="false">$B119*$B$50</f>
        <v>64.9744103549342</v>
      </c>
      <c r="Z119" s="61" t="n">
        <f aca="false">$B119*$B$51</f>
        <v>58.941720591152</v>
      </c>
      <c r="AA119" s="61" t="n">
        <f aca="false">$B119*$B$52</f>
        <v>54.1322528143509</v>
      </c>
      <c r="AB119" s="61" t="n">
        <f aca="false">$B119*$B$53</f>
        <v>50.1925076388651</v>
      </c>
    </row>
    <row r="120" customFormat="false" ht="15" hidden="false" customHeight="false" outlineLevel="0" collapsed="false">
      <c r="A120" s="18" t="n">
        <v>18</v>
      </c>
      <c r="B120" s="18" t="n">
        <f aca="false">G90</f>
        <v>2870.20965643436</v>
      </c>
      <c r="C120" s="61" t="n">
        <v>0</v>
      </c>
      <c r="D120" s="61" t="n">
        <v>0</v>
      </c>
      <c r="E120" s="61" t="n">
        <v>0</v>
      </c>
      <c r="F120" s="61" t="n">
        <v>0</v>
      </c>
      <c r="G120" s="61" t="n">
        <v>0</v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f aca="false">$B120*$B$44</f>
        <v>756.08972747219</v>
      </c>
      <c r="U120" s="61" t="n">
        <f aca="false">$B120*$B$45</f>
        <v>180.552431961992</v>
      </c>
      <c r="V120" s="61" t="n">
        <f aca="false">$B120*$B$46</f>
        <v>126.265937509508</v>
      </c>
      <c r="W120" s="61" t="n">
        <f aca="false">$B120*$B$47</f>
        <v>100.080608637308</v>
      </c>
      <c r="X120" s="61" t="n">
        <f aca="false">$B120*$B$48</f>
        <v>84.2242507111704</v>
      </c>
      <c r="Y120" s="61" t="n">
        <f aca="false">$B120*$B$49</f>
        <v>73.4248182420504</v>
      </c>
      <c r="Z120" s="61" t="n">
        <f aca="false">$B120*$B$50</f>
        <v>65.5169275454016</v>
      </c>
      <c r="AA120" s="61" t="n">
        <f aca="false">$B120*$B$51</f>
        <v>59.4338665988148</v>
      </c>
      <c r="AB120" s="61" t="n">
        <f aca="false">$B120*$B$52</f>
        <v>54.5842411825421</v>
      </c>
    </row>
    <row r="121" customFormat="false" ht="15" hidden="false" customHeight="false" outlineLevel="0" collapsed="false">
      <c r="A121" s="18" t="n">
        <v>19</v>
      </c>
      <c r="B121" s="18" t="n">
        <f aca="false">G91</f>
        <v>4372.49238701811</v>
      </c>
      <c r="C121" s="61" t="n">
        <v>0</v>
      </c>
      <c r="D121" s="61" t="n">
        <v>0</v>
      </c>
      <c r="E121" s="61" t="n">
        <v>0</v>
      </c>
      <c r="F121" s="61" t="n">
        <v>0</v>
      </c>
      <c r="G121" s="61" t="n">
        <v>0</v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f aca="false">$B121*$B$44</f>
        <v>1151.8310412842</v>
      </c>
      <c r="V121" s="61" t="n">
        <f aca="false">$B121*$B$45</f>
        <v>275.054518209712</v>
      </c>
      <c r="W121" s="61" t="n">
        <f aca="false">$B121*$B$46</f>
        <v>192.354188922175</v>
      </c>
      <c r="X121" s="61" t="n">
        <f aca="false">$B121*$B$47</f>
        <v>152.463322103932</v>
      </c>
      <c r="Y121" s="61" t="n">
        <f aca="false">$B121*$B$48</f>
        <v>128.307663592212</v>
      </c>
      <c r="Z121" s="61" t="n">
        <f aca="false">$B121*$B$49</f>
        <v>111.855751743373</v>
      </c>
      <c r="AA121" s="61" t="n">
        <f aca="false">$B121*$B$50</f>
        <v>99.80882973858</v>
      </c>
      <c r="AB121" s="61" t="n">
        <f aca="false">$B121*$B$51</f>
        <v>90.5418629094876</v>
      </c>
    </row>
    <row r="122" customFormat="false" ht="15" hidden="false" customHeight="false" outlineLevel="0" collapsed="false">
      <c r="A122" s="18" t="n">
        <v>20</v>
      </c>
      <c r="B122" s="18" t="n">
        <f aca="false">G92</f>
        <v>3092.17955608785</v>
      </c>
      <c r="C122" s="61" t="n">
        <v>0</v>
      </c>
      <c r="D122" s="61" t="n">
        <v>0</v>
      </c>
      <c r="E122" s="61" t="n">
        <v>0</v>
      </c>
      <c r="F122" s="61" t="n">
        <v>0</v>
      </c>
      <c r="G122" s="61" t="n">
        <v>0</v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f aca="false">$B122*$B$44</f>
        <v>814.562515534832</v>
      </c>
      <c r="W122" s="61" t="n">
        <f aca="false">$B122*$B$45</f>
        <v>194.515594936847</v>
      </c>
      <c r="X122" s="61" t="n">
        <f aca="false">$B122*$B$46</f>
        <v>136.030812147083</v>
      </c>
      <c r="Y122" s="61" t="n">
        <f aca="false">$B122*$B$47</f>
        <v>107.820420468364</v>
      </c>
      <c r="Z122" s="61" t="n">
        <f aca="false">$B122*$B$48</f>
        <v>90.7377987500178</v>
      </c>
      <c r="AA122" s="61" t="n">
        <f aca="false">$B122*$B$49</f>
        <v>79.1031837582165</v>
      </c>
      <c r="AB122" s="61" t="n">
        <f aca="false">$B122*$B$50</f>
        <v>70.583730174351</v>
      </c>
    </row>
    <row r="123" customFormat="false" ht="15" hidden="false" customHeight="false" outlineLevel="0" collapsed="false">
      <c r="A123" s="18" t="n">
        <v>21</v>
      </c>
      <c r="B123" s="18" t="n">
        <f aca="false">G93</f>
        <v>3111.56941814423</v>
      </c>
      <c r="C123" s="61" t="n">
        <v>0</v>
      </c>
      <c r="D123" s="61" t="n">
        <v>0</v>
      </c>
      <c r="E123" s="61" t="n">
        <v>0</v>
      </c>
      <c r="F123" s="61" t="n">
        <v>0</v>
      </c>
      <c r="G123" s="61" t="n">
        <v>0</v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f aca="false">$B123*$B$44</f>
        <v>819.67032202732</v>
      </c>
      <c r="X123" s="61" t="n">
        <f aca="false">$B123*$B$45</f>
        <v>195.735327001312</v>
      </c>
      <c r="Y123" s="61" t="n">
        <f aca="false">$B123*$B$46</f>
        <v>136.883808758407</v>
      </c>
      <c r="Z123" s="61" t="n">
        <f aca="false">$B123*$B$47</f>
        <v>108.4965206242</v>
      </c>
      <c r="AA123" s="61" t="n">
        <f aca="false">$B123*$B$48</f>
        <v>91.3067803919793</v>
      </c>
      <c r="AB123" s="61" t="n">
        <f aca="false">$B123*$B$49</f>
        <v>79.5992092294</v>
      </c>
    </row>
    <row r="124" customFormat="false" ht="15" hidden="false" customHeight="false" outlineLevel="0" collapsed="false">
      <c r="A124" s="18" t="n">
        <v>22</v>
      </c>
      <c r="B124" s="18" t="n">
        <f aca="false">G94</f>
        <v>4739.0419594965</v>
      </c>
      <c r="C124" s="61" t="n">
        <v>0</v>
      </c>
      <c r="D124" s="61" t="n">
        <v>0</v>
      </c>
      <c r="E124" s="61" t="n">
        <v>0</v>
      </c>
      <c r="F124" s="61" t="n">
        <v>0</v>
      </c>
      <c r="G124" s="61" t="n">
        <v>0</v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f aca="false">$B124*$B$44</f>
        <v>1248.389968866</v>
      </c>
      <c r="Y124" s="61" t="n">
        <f aca="false">$B124*$B$45</f>
        <v>298.112560885179</v>
      </c>
      <c r="Z124" s="61" t="n">
        <f aca="false">$B124*$B$46</f>
        <v>208.47939612052</v>
      </c>
      <c r="AA124" s="61" t="n">
        <f aca="false">$B124*$B$47</f>
        <v>165.244445680443</v>
      </c>
      <c r="AB124" s="61" t="n">
        <f aca="false">$B124*$B$48</f>
        <v>139.063798782992</v>
      </c>
    </row>
    <row r="125" customFormat="false" ht="15" hidden="false" customHeight="false" outlineLevel="0" collapsed="false">
      <c r="A125" s="18" t="n">
        <v>23</v>
      </c>
      <c r="B125" s="18" t="n">
        <f aca="false">G95</f>
        <v>3360.15780404174</v>
      </c>
      <c r="C125" s="61" t="n">
        <v>0</v>
      </c>
      <c r="D125" s="61" t="n">
        <v>0</v>
      </c>
      <c r="E125" s="61" t="n">
        <v>0</v>
      </c>
      <c r="F125" s="61" t="n">
        <v>0</v>
      </c>
      <c r="G125" s="61" t="n">
        <v>0</v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f aca="false">$B125*$B$44</f>
        <v>885.155128868744</v>
      </c>
      <c r="Z125" s="61" t="n">
        <f aca="false">$B125*$B$45</f>
        <v>211.372943413995</v>
      </c>
      <c r="AA125" s="61" t="n">
        <f aca="false">$B125*$B$46</f>
        <v>147.819680822303</v>
      </c>
      <c r="AB125" s="61" t="n">
        <f aca="false">$B125*$B$47</f>
        <v>117.164485664669</v>
      </c>
    </row>
    <row r="126" customFormat="false" ht="15" hidden="false" customHeight="false" outlineLevel="0" collapsed="false">
      <c r="A126" s="18" t="n">
        <v>24</v>
      </c>
      <c r="B126" s="18" t="n">
        <f aca="false">G96</f>
        <v>3374.87688452017</v>
      </c>
      <c r="C126" s="61" t="n">
        <v>0</v>
      </c>
      <c r="D126" s="61" t="n">
        <v>0</v>
      </c>
      <c r="E126" s="61" t="n">
        <v>0</v>
      </c>
      <c r="F126" s="61" t="n">
        <v>0</v>
      </c>
      <c r="G126" s="61" t="n">
        <v>0</v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f aca="false">$B126*$B$44</f>
        <v>889.03252699631</v>
      </c>
      <c r="AA126" s="61" t="n">
        <f aca="false">$B126*$B$45</f>
        <v>212.298856881908</v>
      </c>
      <c r="AB126" s="61" t="n">
        <f aca="false">$B126*$B$46</f>
        <v>148.467200940466</v>
      </c>
    </row>
    <row r="127" customFormat="false" ht="15" hidden="false" customHeight="false" outlineLevel="0" collapsed="false">
      <c r="A127" s="18" t="n">
        <v>25</v>
      </c>
      <c r="B127" s="18" t="n">
        <f aca="false">G97</f>
        <v>5139.18071681675</v>
      </c>
      <c r="C127" s="61" t="n">
        <v>0</v>
      </c>
      <c r="D127" s="61" t="n">
        <v>0</v>
      </c>
      <c r="E127" s="61" t="n">
        <v>0</v>
      </c>
      <c r="F127" s="61" t="n">
        <v>0</v>
      </c>
      <c r="G127" s="61" t="n">
        <v>0</v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f aca="false">$B127*$B$44</f>
        <v>1353.79718303765</v>
      </c>
      <c r="AB127" s="61" t="n">
        <f aca="false">$B127*$B$45</f>
        <v>323.283553392455</v>
      </c>
    </row>
    <row r="128" customFormat="false" ht="15" hidden="false" customHeight="false" outlineLevel="0" collapsed="false">
      <c r="A128" s="18" t="n">
        <v>26</v>
      </c>
      <c r="B128" s="18" t="n">
        <f aca="false">G98</f>
        <v>3652.53321826167</v>
      </c>
      <c r="C128" s="61" t="n">
        <v>0</v>
      </c>
      <c r="D128" s="61" t="n">
        <v>0</v>
      </c>
      <c r="E128" s="61" t="n">
        <v>0</v>
      </c>
      <c r="F128" s="61" t="n">
        <v>0</v>
      </c>
      <c r="G128" s="61" t="n">
        <v>0</v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f aca="false">$B128*$B$44</f>
        <v>962.174606091096</v>
      </c>
    </row>
    <row r="129" customFormat="false" ht="15" hidden="false" customHeight="false" outlineLevel="0" collapsed="false">
      <c r="A129" s="5" t="s">
        <v>392</v>
      </c>
    </row>
  </sheetData>
  <conditionalFormatting sqref="B40">
    <cfRule type="expression" priority="2" aboveAverage="0" equalAverage="0" bottom="0" percent="0" rank="0" text="" dxfId="0">
      <formula>LEFT(B40,2)="OK"</formula>
    </cfRule>
    <cfRule type="expression" priority="3" aboveAverage="0" equalAverage="0" bottom="0" percent="0" rank="0" text="" dxfId="1">
      <formula>AND(B40&lt;&gt;"",LEFT(B40,2)&lt;&gt;"OK")</formula>
    </cfRule>
  </conditionalFormatting>
  <conditionalFormatting sqref="C103:AB128">
    <cfRule type="colorScale" priority="4">
      <colorScale>
        <cfvo type="num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7" min="4" style="0" width="1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4" t="s">
        <v>393</v>
      </c>
    </row>
    <row r="2" customFormat="false" ht="15" hidden="false" customHeight="false" outlineLevel="0" collapsed="false">
      <c r="A2" s="5" t="s">
        <v>394</v>
      </c>
    </row>
    <row r="4" customFormat="false" ht="15" hidden="false" customHeight="false" outlineLevel="0" collapsed="false">
      <c r="A4" s="2" t="s">
        <v>395</v>
      </c>
    </row>
    <row r="5" customFormat="false" ht="30" hidden="false" customHeight="true" outlineLevel="0" collapsed="false">
      <c r="A5" s="6" t="s">
        <v>234</v>
      </c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  <c r="H5" s="6" t="s">
        <v>145</v>
      </c>
    </row>
    <row r="6" customFormat="false" ht="15" hidden="false" customHeight="false" outlineLevel="0" collapsed="false">
      <c r="A6" s="3" t="s">
        <v>248</v>
      </c>
      <c r="B6" s="31" t="n">
        <f aca="false">Revenue!N18</f>
        <v>3.9501</v>
      </c>
      <c r="C6" s="62" t="n">
        <v>0.7</v>
      </c>
      <c r="D6" s="62" t="n">
        <v>0.25</v>
      </c>
      <c r="E6" s="62" t="n">
        <v>0.05</v>
      </c>
      <c r="F6" s="62" t="n">
        <v>0</v>
      </c>
      <c r="G6" s="62" t="n">
        <v>0</v>
      </c>
      <c r="H6" s="3" t="str">
        <f aca="false">IF(ROUND(SUM(C6:G6),6)=1,"OK","Must add up to 100%")</f>
        <v>OK</v>
      </c>
    </row>
    <row r="7" customFormat="false" ht="15" hidden="false" customHeight="false" outlineLevel="0" collapsed="false">
      <c r="A7" s="3" t="s">
        <v>250</v>
      </c>
      <c r="B7" s="31" t="n">
        <f aca="false">Revenue!N19</f>
        <v>5.2934</v>
      </c>
      <c r="C7" s="62" t="n">
        <v>0</v>
      </c>
      <c r="D7" s="62" t="n">
        <v>0.45</v>
      </c>
      <c r="E7" s="62" t="n">
        <v>0.3</v>
      </c>
      <c r="F7" s="62" t="n">
        <v>0.15</v>
      </c>
      <c r="G7" s="62" t="n">
        <v>0.1</v>
      </c>
      <c r="H7" s="3" t="str">
        <f aca="false">IF(ROUND(SUM(C7:G7),6)=1,"OK","Must add up to 100%")</f>
        <v>OK</v>
      </c>
    </row>
    <row r="8" customFormat="false" ht="15" hidden="false" customHeight="false" outlineLevel="0" collapsed="false">
      <c r="A8" s="3" t="s">
        <v>252</v>
      </c>
      <c r="B8" s="31" t="n">
        <f aca="false">Revenue!N20</f>
        <v>2.97255</v>
      </c>
      <c r="C8" s="62" t="n">
        <v>0</v>
      </c>
      <c r="D8" s="62" t="n">
        <v>0.4</v>
      </c>
      <c r="E8" s="62" t="n">
        <v>0.3</v>
      </c>
      <c r="F8" s="62" t="n">
        <v>0.18</v>
      </c>
      <c r="G8" s="62" t="n">
        <v>0.12</v>
      </c>
      <c r="H8" s="3" t="str">
        <f aca="false">IF(ROUND(SUM(C8:G8),6)=1,"OK","Must add up to 100%")</f>
        <v>OK</v>
      </c>
    </row>
    <row r="9" customFormat="false" ht="15" hidden="false" customHeight="false" outlineLevel="0" collapsed="false">
      <c r="A9" s="3" t="s">
        <v>253</v>
      </c>
      <c r="B9" s="31" t="n">
        <f aca="false">Revenue!N21</f>
        <v>2.9639715</v>
      </c>
      <c r="C9" s="62" t="n">
        <v>0</v>
      </c>
      <c r="D9" s="62" t="n">
        <v>0.4</v>
      </c>
      <c r="E9" s="62" t="n">
        <v>0.3</v>
      </c>
      <c r="F9" s="62" t="n">
        <v>0.18</v>
      </c>
      <c r="G9" s="62" t="n">
        <v>0.12</v>
      </c>
      <c r="H9" s="3" t="str">
        <f aca="false">IF(ROUND(SUM(C9:G9),6)=1,"OK","Must add up to 100%")</f>
        <v>OK</v>
      </c>
    </row>
    <row r="10" customFormat="false" ht="15" hidden="false" customHeight="false" outlineLevel="0" collapsed="false">
      <c r="A10" s="3" t="s">
        <v>254</v>
      </c>
      <c r="B10" s="31" t="n">
        <f aca="false">Revenue!N22</f>
        <v>1.486275</v>
      </c>
      <c r="C10" s="62" t="n">
        <v>0</v>
      </c>
      <c r="D10" s="62" t="n">
        <v>0.3</v>
      </c>
      <c r="E10" s="62" t="n">
        <v>0.35</v>
      </c>
      <c r="F10" s="62" t="n">
        <v>0.2</v>
      </c>
      <c r="G10" s="62" t="n">
        <v>0.15</v>
      </c>
      <c r="H10" s="3" t="str">
        <f aca="false">IF(ROUND(SUM(C10:G10),6)=1,"OK","Must add up to 100%")</f>
        <v>OK</v>
      </c>
    </row>
    <row r="11" customFormat="false" ht="15" hidden="false" customHeight="false" outlineLevel="0" collapsed="false">
      <c r="A11" s="3" t="s">
        <v>255</v>
      </c>
      <c r="B11" s="31" t="n">
        <f aca="false">Revenue!N23</f>
        <v>22.274424375</v>
      </c>
      <c r="C11" s="62" t="n">
        <v>0</v>
      </c>
      <c r="D11" s="62" t="n">
        <v>0.2</v>
      </c>
      <c r="E11" s="62" t="n">
        <v>0.25</v>
      </c>
      <c r="F11" s="62" t="n">
        <v>0.27</v>
      </c>
      <c r="G11" s="62" t="n">
        <v>0.28</v>
      </c>
      <c r="H11" s="3" t="str">
        <f aca="false">IF(ROUND(SUM(C11:G11),6)=1,"OK","Must add up to 100%")</f>
        <v>OK</v>
      </c>
    </row>
    <row r="12" customFormat="false" ht="15" hidden="false" customHeight="false" outlineLevel="0" collapsed="false">
      <c r="A12" s="3" t="s">
        <v>257</v>
      </c>
      <c r="B12" s="31" t="n">
        <f aca="false">Revenue!N24</f>
        <v>2.333086</v>
      </c>
      <c r="C12" s="62" t="n">
        <v>0</v>
      </c>
      <c r="D12" s="62" t="n">
        <v>0.25</v>
      </c>
      <c r="E12" s="62" t="n">
        <v>0.25</v>
      </c>
      <c r="F12" s="62" t="n">
        <v>0.22</v>
      </c>
      <c r="G12" s="62" t="n">
        <v>0.28</v>
      </c>
      <c r="H12" s="3" t="str">
        <f aca="false">IF(ROUND(SUM(C12:G12),6)=1,"OK","Must add up to 100%")</f>
        <v>OK</v>
      </c>
    </row>
    <row r="13" customFormat="false" ht="15" hidden="false" customHeight="false" outlineLevel="0" collapsed="false">
      <c r="A13" s="3" t="s">
        <v>258</v>
      </c>
      <c r="B13" s="31" t="n">
        <f aca="false">Revenue!N25</f>
        <v>5.96505</v>
      </c>
      <c r="C13" s="62" t="n">
        <v>0</v>
      </c>
      <c r="D13" s="62" t="n">
        <v>0.15</v>
      </c>
      <c r="E13" s="62" t="n">
        <v>0.25</v>
      </c>
      <c r="F13" s="62" t="n">
        <v>0.3</v>
      </c>
      <c r="G13" s="62" t="n">
        <v>0.3</v>
      </c>
      <c r="H13" s="3" t="str">
        <f aca="false">IF(ROUND(SUM(C13:G13),6)=1,"OK","Must add up to 100%")</f>
        <v>OK</v>
      </c>
    </row>
    <row r="14" customFormat="false" ht="15" hidden="false" customHeight="false" outlineLevel="0" collapsed="false">
      <c r="A14" s="3" t="s">
        <v>259</v>
      </c>
      <c r="B14" s="31" t="n">
        <f aca="false">Revenue!N26</f>
        <v>4.56523032</v>
      </c>
      <c r="C14" s="62" t="n">
        <v>0</v>
      </c>
      <c r="D14" s="62" t="n">
        <v>0</v>
      </c>
      <c r="E14" s="62" t="n">
        <v>0</v>
      </c>
      <c r="F14" s="62" t="n">
        <v>0.55</v>
      </c>
      <c r="G14" s="62" t="n">
        <v>0.45</v>
      </c>
      <c r="H14" s="3" t="str">
        <f aca="false">IF(ROUND(SUM(C14:G14),6)=1,"OK","Must add up to 100%")</f>
        <v>OK</v>
      </c>
    </row>
    <row r="15" customFormat="false" ht="15" hidden="false" customHeight="false" outlineLevel="0" collapsed="false">
      <c r="A15" s="3" t="s">
        <v>260</v>
      </c>
      <c r="B15" s="31" t="n">
        <f aca="false">Revenue!N27</f>
        <v>2.65876576</v>
      </c>
      <c r="C15" s="62" t="n">
        <v>0</v>
      </c>
      <c r="D15" s="62" t="n">
        <v>0</v>
      </c>
      <c r="E15" s="62" t="n">
        <v>0</v>
      </c>
      <c r="F15" s="62" t="n">
        <v>0.5</v>
      </c>
      <c r="G15" s="62" t="n">
        <v>0.5</v>
      </c>
      <c r="H15" s="3" t="str">
        <f aca="false">IF(ROUND(SUM(C15:G15),6)=1,"OK","Must add up to 100%")</f>
        <v>OK</v>
      </c>
    </row>
    <row r="16" customFormat="false" ht="15" hidden="false" customHeight="false" outlineLevel="0" collapsed="false">
      <c r="A16" s="3" t="s">
        <v>261</v>
      </c>
      <c r="B16" s="31" t="n">
        <f aca="false">Revenue!N28</f>
        <v>2.545088</v>
      </c>
      <c r="C16" s="62" t="n">
        <v>0</v>
      </c>
      <c r="D16" s="62" t="n">
        <v>0</v>
      </c>
      <c r="E16" s="62" t="n">
        <v>0</v>
      </c>
      <c r="F16" s="62" t="n">
        <v>0.5</v>
      </c>
      <c r="G16" s="62" t="n">
        <v>0.5</v>
      </c>
      <c r="H16" s="3" t="str">
        <f aca="false">IF(ROUND(SUM(C16:G16),6)=1,"OK","Must add up to 100%")</f>
        <v>OK</v>
      </c>
    </row>
    <row r="17" customFormat="false" ht="15" hidden="false" customHeight="false" outlineLevel="0" collapsed="false">
      <c r="A17" s="3" t="s">
        <v>262</v>
      </c>
      <c r="B17" s="31" t="n">
        <f aca="false">Revenue!N29</f>
        <v>2.123744</v>
      </c>
      <c r="C17" s="62" t="n">
        <v>0</v>
      </c>
      <c r="D17" s="62" t="n">
        <v>0</v>
      </c>
      <c r="E17" s="62" t="n">
        <v>0</v>
      </c>
      <c r="F17" s="62" t="n">
        <v>0.45</v>
      </c>
      <c r="G17" s="62" t="n">
        <v>0.55</v>
      </c>
      <c r="H17" s="3" t="str">
        <f aca="false">IF(ROUND(SUM(C17:G17),6)=1,"OK","Must add up to 100%")</f>
        <v>OK</v>
      </c>
    </row>
    <row r="18" customFormat="false" ht="15" hidden="false" customHeight="false" outlineLevel="0" collapsed="false">
      <c r="A18" s="3" t="s">
        <v>263</v>
      </c>
      <c r="B18" s="31" t="n">
        <f aca="false">Revenue!N30</f>
        <v>2.8282716</v>
      </c>
      <c r="C18" s="62" t="n">
        <v>0</v>
      </c>
      <c r="D18" s="62" t="n">
        <v>0</v>
      </c>
      <c r="E18" s="62" t="n">
        <v>0</v>
      </c>
      <c r="F18" s="62" t="n">
        <v>0.4</v>
      </c>
      <c r="G18" s="62" t="n">
        <v>0.6</v>
      </c>
      <c r="H18" s="3" t="str">
        <f aca="false">IF(ROUND(SUM(C18:G18),6)=1,"OK","Must add up to 100%")</f>
        <v>OK</v>
      </c>
    </row>
    <row r="19" customFormat="false" ht="15" hidden="false" customHeight="false" outlineLevel="0" collapsed="false">
      <c r="A19" s="3" t="s">
        <v>264</v>
      </c>
      <c r="B19" s="31" t="n">
        <f aca="false">Revenue!N31</f>
        <v>0.952812</v>
      </c>
      <c r="C19" s="62" t="n">
        <v>0</v>
      </c>
      <c r="D19" s="62" t="n">
        <v>0</v>
      </c>
      <c r="E19" s="62" t="n">
        <v>0</v>
      </c>
      <c r="F19" s="62" t="n">
        <v>0.4</v>
      </c>
      <c r="G19" s="62" t="n">
        <v>0.6</v>
      </c>
      <c r="H19" s="3" t="str">
        <f aca="false">IF(ROUND(SUM(C19:G19),6)=1,"OK","Must add up to 100%")</f>
        <v>OK</v>
      </c>
    </row>
    <row r="20" customFormat="false" ht="15" hidden="false" customHeight="false" outlineLevel="0" collapsed="false">
      <c r="A20" s="3" t="s">
        <v>265</v>
      </c>
      <c r="B20" s="31" t="n">
        <f aca="false">Revenue!N32</f>
        <v>6.792576</v>
      </c>
      <c r="C20" s="62" t="n">
        <v>0</v>
      </c>
      <c r="D20" s="62" t="n">
        <v>0</v>
      </c>
      <c r="E20" s="62" t="n">
        <v>0</v>
      </c>
      <c r="F20" s="62" t="n">
        <v>0.5</v>
      </c>
      <c r="G20" s="62" t="n">
        <v>0.5</v>
      </c>
      <c r="H20" s="3" t="str">
        <f aca="false">IF(ROUND(SUM(C20:G20),6)=1,"OK","Must add up to 100%")</f>
        <v>OK</v>
      </c>
    </row>
    <row r="21" customFormat="false" ht="15" hidden="false" customHeight="false" outlineLevel="0" collapsed="false">
      <c r="A21" s="3" t="s">
        <v>266</v>
      </c>
      <c r="B21" s="31" t="n">
        <f aca="false">Revenue!N33</f>
        <v>1.264032</v>
      </c>
      <c r="C21" s="62" t="n">
        <v>0</v>
      </c>
      <c r="D21" s="62" t="n">
        <v>0</v>
      </c>
      <c r="E21" s="62" t="n">
        <v>0</v>
      </c>
      <c r="F21" s="62" t="n">
        <v>0.2</v>
      </c>
      <c r="G21" s="62" t="n">
        <v>0.8</v>
      </c>
      <c r="H21" s="3" t="str">
        <f aca="false">IF(ROUND(SUM(C21:G21),6)=1,"OK","Must add up to 100%")</f>
        <v>OK</v>
      </c>
    </row>
    <row r="22" customFormat="false" ht="15" hidden="false" customHeight="false" outlineLevel="0" collapsed="false">
      <c r="A22" s="3" t="s">
        <v>267</v>
      </c>
      <c r="B22" s="31" t="n">
        <f aca="false">Revenue!N34</f>
        <v>3.17072</v>
      </c>
      <c r="C22" s="62" t="n">
        <v>0</v>
      </c>
      <c r="D22" s="62" t="n">
        <v>0</v>
      </c>
      <c r="E22" s="62" t="n">
        <v>0</v>
      </c>
      <c r="F22" s="62" t="n">
        <v>0.45</v>
      </c>
      <c r="G22" s="62" t="n">
        <v>0.55</v>
      </c>
      <c r="H22" s="3" t="str">
        <f aca="false">IF(ROUND(SUM(C22:G22),6)=1,"OK","Must add up to 100%")</f>
        <v>OK</v>
      </c>
    </row>
    <row r="23" customFormat="false" ht="15" hidden="false" customHeight="false" outlineLevel="0" collapsed="false">
      <c r="A23" s="3" t="s">
        <v>402</v>
      </c>
      <c r="B23" s="31" t="n">
        <f aca="false">Revenue!B44</f>
        <v>3.992</v>
      </c>
      <c r="C23" s="62" t="n">
        <v>0</v>
      </c>
      <c r="D23" s="62" t="n">
        <v>0</v>
      </c>
      <c r="E23" s="62" t="n">
        <v>0</v>
      </c>
      <c r="F23" s="62" t="n">
        <v>0.6</v>
      </c>
      <c r="G23" s="62" t="n">
        <v>0.4</v>
      </c>
      <c r="H23" s="3" t="str">
        <f aca="false">IF(ROUND(SUM(C23:G23),6)=1,"OK","Must add up to 100%")</f>
        <v>OK</v>
      </c>
    </row>
    <row r="25" customFormat="false" ht="15" hidden="false" customHeight="false" outlineLevel="0" collapsed="false">
      <c r="A25" s="2" t="s">
        <v>403</v>
      </c>
    </row>
    <row r="26" customFormat="false" ht="30" hidden="false" customHeight="true" outlineLevel="0" collapsed="false">
      <c r="A26" s="6" t="s">
        <v>234</v>
      </c>
      <c r="B26" s="6" t="s">
        <v>192</v>
      </c>
      <c r="C26" s="6" t="s">
        <v>397</v>
      </c>
      <c r="D26" s="6" t="s">
        <v>398</v>
      </c>
      <c r="E26" s="6" t="s">
        <v>399</v>
      </c>
      <c r="F26" s="6" t="s">
        <v>400</v>
      </c>
      <c r="G26" s="6" t="s">
        <v>401</v>
      </c>
    </row>
    <row r="27" customFormat="false" ht="15" hidden="false" customHeight="false" outlineLevel="0" collapsed="false">
      <c r="A27" s="3" t="s">
        <v>248</v>
      </c>
      <c r="B27" s="45" t="n">
        <f aca="false">SUM(C27:G27)</f>
        <v>3.9501</v>
      </c>
      <c r="C27" s="63" t="n">
        <f aca="false">$B6*C6</f>
        <v>2.76507</v>
      </c>
      <c r="D27" s="63" t="n">
        <f aca="false">$B6*D6</f>
        <v>0.987525</v>
      </c>
      <c r="E27" s="63" t="n">
        <f aca="false">$B6*E6</f>
        <v>0.197505</v>
      </c>
      <c r="F27" s="63" t="n">
        <f aca="false">$B6*F6</f>
        <v>0</v>
      </c>
      <c r="G27" s="63" t="n">
        <f aca="false">$B6*G6</f>
        <v>0</v>
      </c>
    </row>
    <row r="28" customFormat="false" ht="15" hidden="false" customHeight="false" outlineLevel="0" collapsed="false">
      <c r="A28" s="3" t="s">
        <v>250</v>
      </c>
      <c r="B28" s="45" t="n">
        <f aca="false">SUM(C28:G28)</f>
        <v>5.2934</v>
      </c>
      <c r="C28" s="63" t="n">
        <f aca="false">$B7*C7</f>
        <v>0</v>
      </c>
      <c r="D28" s="63" t="n">
        <f aca="false">$B7*D7</f>
        <v>2.38203</v>
      </c>
      <c r="E28" s="63" t="n">
        <f aca="false">$B7*E7</f>
        <v>1.58802</v>
      </c>
      <c r="F28" s="63" t="n">
        <f aca="false">$B7*F7</f>
        <v>0.79401</v>
      </c>
      <c r="G28" s="63" t="n">
        <f aca="false">$B7*G7</f>
        <v>0.52934</v>
      </c>
    </row>
    <row r="29" customFormat="false" ht="15" hidden="false" customHeight="false" outlineLevel="0" collapsed="false">
      <c r="A29" s="3" t="s">
        <v>252</v>
      </c>
      <c r="B29" s="45" t="n">
        <f aca="false">SUM(C29:G29)</f>
        <v>2.97255</v>
      </c>
      <c r="C29" s="63" t="n">
        <f aca="false">$B8*C8</f>
        <v>0</v>
      </c>
      <c r="D29" s="63" t="n">
        <f aca="false">$B8*D8</f>
        <v>1.18902</v>
      </c>
      <c r="E29" s="63" t="n">
        <f aca="false">$B8*E8</f>
        <v>0.891765</v>
      </c>
      <c r="F29" s="63" t="n">
        <f aca="false">$B8*F8</f>
        <v>0.535059</v>
      </c>
      <c r="G29" s="63" t="n">
        <f aca="false">$B8*G8</f>
        <v>0.356706</v>
      </c>
    </row>
    <row r="30" customFormat="false" ht="15" hidden="false" customHeight="false" outlineLevel="0" collapsed="false">
      <c r="A30" s="3" t="s">
        <v>253</v>
      </c>
      <c r="B30" s="45" t="n">
        <f aca="false">SUM(C30:G30)</f>
        <v>2.9639715</v>
      </c>
      <c r="C30" s="63" t="n">
        <f aca="false">$B9*C9</f>
        <v>0</v>
      </c>
      <c r="D30" s="63" t="n">
        <f aca="false">$B9*D9</f>
        <v>1.1855886</v>
      </c>
      <c r="E30" s="63" t="n">
        <f aca="false">$B9*E9</f>
        <v>0.88919145</v>
      </c>
      <c r="F30" s="63" t="n">
        <f aca="false">$B9*F9</f>
        <v>0.53351487</v>
      </c>
      <c r="G30" s="63" t="n">
        <f aca="false">$B9*G9</f>
        <v>0.35567658</v>
      </c>
    </row>
    <row r="31" customFormat="false" ht="15" hidden="false" customHeight="false" outlineLevel="0" collapsed="false">
      <c r="A31" s="3" t="s">
        <v>254</v>
      </c>
      <c r="B31" s="45" t="n">
        <f aca="false">SUM(C31:G31)</f>
        <v>1.486275</v>
      </c>
      <c r="C31" s="63" t="n">
        <f aca="false">$B10*C10</f>
        <v>0</v>
      </c>
      <c r="D31" s="63" t="n">
        <f aca="false">$B10*D10</f>
        <v>0.4458825</v>
      </c>
      <c r="E31" s="63" t="n">
        <f aca="false">$B10*E10</f>
        <v>0.52019625</v>
      </c>
      <c r="F31" s="63" t="n">
        <f aca="false">$B10*F10</f>
        <v>0.297255</v>
      </c>
      <c r="G31" s="63" t="n">
        <f aca="false">$B10*G10</f>
        <v>0.22294125</v>
      </c>
    </row>
    <row r="32" customFormat="false" ht="15" hidden="false" customHeight="false" outlineLevel="0" collapsed="false">
      <c r="A32" s="3" t="s">
        <v>255</v>
      </c>
      <c r="B32" s="45" t="n">
        <f aca="false">SUM(C32:G32)</f>
        <v>22.274424375</v>
      </c>
      <c r="C32" s="63" t="n">
        <f aca="false">$B11*C11</f>
        <v>0</v>
      </c>
      <c r="D32" s="63" t="n">
        <f aca="false">$B11*D11</f>
        <v>4.454884875</v>
      </c>
      <c r="E32" s="63" t="n">
        <f aca="false">$B11*E11</f>
        <v>5.56860609375</v>
      </c>
      <c r="F32" s="63" t="n">
        <f aca="false">$B11*F11</f>
        <v>6.01409458125</v>
      </c>
      <c r="G32" s="63" t="n">
        <f aca="false">$B11*G11</f>
        <v>6.236838825</v>
      </c>
    </row>
    <row r="33" customFormat="false" ht="15" hidden="false" customHeight="false" outlineLevel="0" collapsed="false">
      <c r="A33" s="3" t="s">
        <v>257</v>
      </c>
      <c r="B33" s="45" t="n">
        <f aca="false">SUM(C33:G33)</f>
        <v>2.333086</v>
      </c>
      <c r="C33" s="63" t="n">
        <f aca="false">$B12*C12</f>
        <v>0</v>
      </c>
      <c r="D33" s="63" t="n">
        <f aca="false">$B12*D12</f>
        <v>0.5832715</v>
      </c>
      <c r="E33" s="63" t="n">
        <f aca="false">$B12*E12</f>
        <v>0.5832715</v>
      </c>
      <c r="F33" s="63" t="n">
        <f aca="false">$B12*F12</f>
        <v>0.51327892</v>
      </c>
      <c r="G33" s="63" t="n">
        <f aca="false">$B12*G12</f>
        <v>0.65326408</v>
      </c>
    </row>
    <row r="34" customFormat="false" ht="15" hidden="false" customHeight="false" outlineLevel="0" collapsed="false">
      <c r="A34" s="3" t="s">
        <v>258</v>
      </c>
      <c r="B34" s="45" t="n">
        <f aca="false">SUM(C34:G34)</f>
        <v>5.96505</v>
      </c>
      <c r="C34" s="63" t="n">
        <f aca="false">$B13*C13</f>
        <v>0</v>
      </c>
      <c r="D34" s="63" t="n">
        <f aca="false">$B13*D13</f>
        <v>0.8947575</v>
      </c>
      <c r="E34" s="63" t="n">
        <f aca="false">$B13*E13</f>
        <v>1.4912625</v>
      </c>
      <c r="F34" s="63" t="n">
        <f aca="false">$B13*F13</f>
        <v>1.789515</v>
      </c>
      <c r="G34" s="63" t="n">
        <f aca="false">$B13*G13</f>
        <v>1.789515</v>
      </c>
    </row>
    <row r="35" customFormat="false" ht="15" hidden="false" customHeight="false" outlineLevel="0" collapsed="false">
      <c r="A35" s="3" t="s">
        <v>259</v>
      </c>
      <c r="B35" s="45" t="n">
        <f aca="false">SUM(C35:G35)</f>
        <v>4.56523032</v>
      </c>
      <c r="C35" s="63" t="n">
        <f aca="false">$B14*C14</f>
        <v>0</v>
      </c>
      <c r="D35" s="63" t="n">
        <f aca="false">$B14*D14</f>
        <v>0</v>
      </c>
      <c r="E35" s="63" t="n">
        <f aca="false">$B14*E14</f>
        <v>0</v>
      </c>
      <c r="F35" s="63" t="n">
        <f aca="false">$B14*F14</f>
        <v>2.510876676</v>
      </c>
      <c r="G35" s="63" t="n">
        <f aca="false">$B14*G14</f>
        <v>2.054353644</v>
      </c>
    </row>
    <row r="36" customFormat="false" ht="15" hidden="false" customHeight="false" outlineLevel="0" collapsed="false">
      <c r="A36" s="3" t="s">
        <v>260</v>
      </c>
      <c r="B36" s="45" t="n">
        <f aca="false">SUM(C36:G36)</f>
        <v>2.65876576</v>
      </c>
      <c r="C36" s="63" t="n">
        <f aca="false">$B15*C15</f>
        <v>0</v>
      </c>
      <c r="D36" s="63" t="n">
        <f aca="false">$B15*D15</f>
        <v>0</v>
      </c>
      <c r="E36" s="63" t="n">
        <f aca="false">$B15*E15</f>
        <v>0</v>
      </c>
      <c r="F36" s="63" t="n">
        <f aca="false">$B15*F15</f>
        <v>1.32938288</v>
      </c>
      <c r="G36" s="63" t="n">
        <f aca="false">$B15*G15</f>
        <v>1.32938288</v>
      </c>
    </row>
    <row r="37" customFormat="false" ht="15" hidden="false" customHeight="false" outlineLevel="0" collapsed="false">
      <c r="A37" s="3" t="s">
        <v>261</v>
      </c>
      <c r="B37" s="45" t="n">
        <f aca="false">SUM(C37:G37)</f>
        <v>2.545088</v>
      </c>
      <c r="C37" s="63" t="n">
        <f aca="false">$B16*C16</f>
        <v>0</v>
      </c>
      <c r="D37" s="63" t="n">
        <f aca="false">$B16*D16</f>
        <v>0</v>
      </c>
      <c r="E37" s="63" t="n">
        <f aca="false">$B16*E16</f>
        <v>0</v>
      </c>
      <c r="F37" s="63" t="n">
        <f aca="false">$B16*F16</f>
        <v>1.272544</v>
      </c>
      <c r="G37" s="63" t="n">
        <f aca="false">$B16*G16</f>
        <v>1.272544</v>
      </c>
    </row>
    <row r="38" customFormat="false" ht="15" hidden="false" customHeight="false" outlineLevel="0" collapsed="false">
      <c r="A38" s="3" t="s">
        <v>262</v>
      </c>
      <c r="B38" s="45" t="n">
        <f aca="false">SUM(C38:G38)</f>
        <v>2.123744</v>
      </c>
      <c r="C38" s="63" t="n">
        <f aca="false">$B17*C17</f>
        <v>0</v>
      </c>
      <c r="D38" s="63" t="n">
        <f aca="false">$B17*D17</f>
        <v>0</v>
      </c>
      <c r="E38" s="63" t="n">
        <f aca="false">$B17*E17</f>
        <v>0</v>
      </c>
      <c r="F38" s="63" t="n">
        <f aca="false">$B17*F17</f>
        <v>0.9556848</v>
      </c>
      <c r="G38" s="63" t="n">
        <f aca="false">$B17*G17</f>
        <v>1.1680592</v>
      </c>
    </row>
    <row r="39" customFormat="false" ht="15" hidden="false" customHeight="false" outlineLevel="0" collapsed="false">
      <c r="A39" s="3" t="s">
        <v>263</v>
      </c>
      <c r="B39" s="45" t="n">
        <f aca="false">SUM(C39:G39)</f>
        <v>2.8282716</v>
      </c>
      <c r="C39" s="63" t="n">
        <f aca="false">$B18*C18</f>
        <v>0</v>
      </c>
      <c r="D39" s="63" t="n">
        <f aca="false">$B18*D18</f>
        <v>0</v>
      </c>
      <c r="E39" s="63" t="n">
        <f aca="false">$B18*E18</f>
        <v>0</v>
      </c>
      <c r="F39" s="63" t="n">
        <f aca="false">$B18*F18</f>
        <v>1.13130864</v>
      </c>
      <c r="G39" s="63" t="n">
        <f aca="false">$B18*G18</f>
        <v>1.69696296</v>
      </c>
    </row>
    <row r="40" customFormat="false" ht="15" hidden="false" customHeight="false" outlineLevel="0" collapsed="false">
      <c r="A40" s="3" t="s">
        <v>264</v>
      </c>
      <c r="B40" s="45" t="n">
        <f aca="false">SUM(C40:G40)</f>
        <v>0.952812</v>
      </c>
      <c r="C40" s="63" t="n">
        <f aca="false">$B19*C19</f>
        <v>0</v>
      </c>
      <c r="D40" s="63" t="n">
        <f aca="false">$B19*D19</f>
        <v>0</v>
      </c>
      <c r="E40" s="63" t="n">
        <f aca="false">$B19*E19</f>
        <v>0</v>
      </c>
      <c r="F40" s="63" t="n">
        <f aca="false">$B19*F19</f>
        <v>0.3811248</v>
      </c>
      <c r="G40" s="63" t="n">
        <f aca="false">$B19*G19</f>
        <v>0.5716872</v>
      </c>
    </row>
    <row r="41" customFormat="false" ht="15" hidden="false" customHeight="false" outlineLevel="0" collapsed="false">
      <c r="A41" s="3" t="s">
        <v>265</v>
      </c>
      <c r="B41" s="45" t="n">
        <f aca="false">SUM(C41:G41)</f>
        <v>6.792576</v>
      </c>
      <c r="C41" s="63" t="n">
        <f aca="false">$B20*C20</f>
        <v>0</v>
      </c>
      <c r="D41" s="63" t="n">
        <f aca="false">$B20*D20</f>
        <v>0</v>
      </c>
      <c r="E41" s="63" t="n">
        <f aca="false">$B20*E20</f>
        <v>0</v>
      </c>
      <c r="F41" s="63" t="n">
        <f aca="false">$B20*F20</f>
        <v>3.396288</v>
      </c>
      <c r="G41" s="63" t="n">
        <f aca="false">$B20*G20</f>
        <v>3.396288</v>
      </c>
    </row>
    <row r="42" customFormat="false" ht="15" hidden="false" customHeight="false" outlineLevel="0" collapsed="false">
      <c r="A42" s="3" t="s">
        <v>266</v>
      </c>
      <c r="B42" s="45" t="n">
        <f aca="false">SUM(C42:G42)</f>
        <v>1.264032</v>
      </c>
      <c r="C42" s="63" t="n">
        <f aca="false">$B21*C21</f>
        <v>0</v>
      </c>
      <c r="D42" s="63" t="n">
        <f aca="false">$B21*D21</f>
        <v>0</v>
      </c>
      <c r="E42" s="63" t="n">
        <f aca="false">$B21*E21</f>
        <v>0</v>
      </c>
      <c r="F42" s="63" t="n">
        <f aca="false">$B21*F21</f>
        <v>0.2528064</v>
      </c>
      <c r="G42" s="63" t="n">
        <f aca="false">$B21*G21</f>
        <v>1.0112256</v>
      </c>
    </row>
    <row r="43" customFormat="false" ht="15" hidden="false" customHeight="false" outlineLevel="0" collapsed="false">
      <c r="A43" s="3" t="s">
        <v>267</v>
      </c>
      <c r="B43" s="45" t="n">
        <f aca="false">SUM(C43:G43)</f>
        <v>3.17072</v>
      </c>
      <c r="C43" s="63" t="n">
        <f aca="false">$B22*C22</f>
        <v>0</v>
      </c>
      <c r="D43" s="63" t="n">
        <f aca="false">$B22*D22</f>
        <v>0</v>
      </c>
      <c r="E43" s="63" t="n">
        <f aca="false">$B22*E22</f>
        <v>0</v>
      </c>
      <c r="F43" s="63" t="n">
        <f aca="false">$B22*F22</f>
        <v>1.426824</v>
      </c>
      <c r="G43" s="63" t="n">
        <f aca="false">$B22*G22</f>
        <v>1.743896</v>
      </c>
    </row>
    <row r="44" customFormat="false" ht="15" hidden="false" customHeight="false" outlineLevel="0" collapsed="false">
      <c r="A44" s="3" t="s">
        <v>402</v>
      </c>
      <c r="B44" s="45" t="n">
        <f aca="false">SUM(C44:G44)</f>
        <v>3.992</v>
      </c>
      <c r="C44" s="63" t="n">
        <f aca="false">$B23*C23</f>
        <v>0</v>
      </c>
      <c r="D44" s="63" t="n">
        <f aca="false">$B23*D23</f>
        <v>0</v>
      </c>
      <c r="E44" s="63" t="n">
        <f aca="false">$B23*E23</f>
        <v>0</v>
      </c>
      <c r="F44" s="63" t="n">
        <f aca="false">$B23*F23</f>
        <v>2.3952</v>
      </c>
      <c r="G44" s="63" t="n">
        <f aca="false">$B23*G23</f>
        <v>1.5968</v>
      </c>
    </row>
    <row r="45" customFormat="false" ht="15" hidden="false" customHeight="false" outlineLevel="0" collapsed="false">
      <c r="A45" s="16" t="s">
        <v>192</v>
      </c>
      <c r="B45" s="42" t="n">
        <f aca="false">SUM(B27:B44)</f>
        <v>78.132096555</v>
      </c>
      <c r="C45" s="42" t="n">
        <f aca="false">SUM(C27:C44)</f>
        <v>2.76507</v>
      </c>
      <c r="D45" s="42" t="n">
        <f aca="false">SUM(D27:D44)</f>
        <v>12.122959975</v>
      </c>
      <c r="E45" s="42" t="n">
        <f aca="false">SUM(E27:E44)</f>
        <v>11.72981779375</v>
      </c>
      <c r="F45" s="42" t="n">
        <f aca="false">SUM(F27:F44)</f>
        <v>25.52876756725</v>
      </c>
      <c r="G45" s="42" t="n">
        <f aca="false">SUM(G27:G44)</f>
        <v>25.985481219</v>
      </c>
    </row>
    <row r="46" customFormat="false" ht="15" hidden="false" customHeight="false" outlineLevel="0" collapsed="false">
      <c r="A46" s="16" t="s">
        <v>404</v>
      </c>
      <c r="C46" s="43" t="n">
        <f aca="false">IF($B$45=0,0,C45/$B$45)</f>
        <v>0.0353896813463026</v>
      </c>
      <c r="D46" s="43" t="n">
        <f aca="false">IF($B$45=0,0,D45/$B$45)</f>
        <v>0.155159793599884</v>
      </c>
      <c r="E46" s="43" t="n">
        <f aca="false">IF($B$45=0,0,E45/$B$45)</f>
        <v>0.150128030744612</v>
      </c>
      <c r="F46" s="43" t="n">
        <f aca="false">IF($B$45=0,0,F45/$B$45)</f>
        <v>0.326738545269669</v>
      </c>
      <c r="G46" s="43" t="n">
        <f aca="false">IF($B$45=0,0,G45/$B$45)</f>
        <v>0.332583949039533</v>
      </c>
    </row>
    <row r="47" customFormat="false" ht="15" hidden="false" customHeight="false" outlineLevel="0" collapsed="false">
      <c r="A47" s="5" t="s">
        <v>405</v>
      </c>
    </row>
    <row r="49" customFormat="false" ht="15" hidden="false" customHeight="false" outlineLevel="0" collapsed="false">
      <c r="A49" s="2" t="s">
        <v>406</v>
      </c>
    </row>
    <row r="50" customFormat="false" ht="30" hidden="false" customHeight="true" outlineLevel="0" collapsed="false">
      <c r="A50" s="6" t="s">
        <v>407</v>
      </c>
      <c r="B50" s="6" t="s">
        <v>408</v>
      </c>
      <c r="C50" s="6" t="s">
        <v>409</v>
      </c>
      <c r="D50" s="6" t="s">
        <v>410</v>
      </c>
      <c r="E50" s="6" t="s">
        <v>411</v>
      </c>
      <c r="F50" s="6" t="s">
        <v>412</v>
      </c>
      <c r="G50" s="6" t="s">
        <v>413</v>
      </c>
    </row>
    <row r="51" customFormat="false" ht="15" hidden="false" customHeight="false" outlineLevel="0" collapsed="false">
      <c r="A51" s="3" t="s">
        <v>414</v>
      </c>
      <c r="B51" s="62" t="n">
        <v>0.55</v>
      </c>
      <c r="C51" s="62" t="n">
        <v>0.3</v>
      </c>
      <c r="D51" s="62" t="n">
        <v>0.18</v>
      </c>
      <c r="E51" s="62" t="n">
        <v>0.12</v>
      </c>
      <c r="F51" s="62" t="n">
        <v>0.08</v>
      </c>
      <c r="G51" s="62" t="n">
        <v>0.06</v>
      </c>
    </row>
    <row r="52" customFormat="false" ht="15" hidden="false" customHeight="false" outlineLevel="0" collapsed="false">
      <c r="A52" s="3" t="s">
        <v>415</v>
      </c>
      <c r="B52" s="62" t="n">
        <v>0.25</v>
      </c>
      <c r="C52" s="62" t="n">
        <v>0.2</v>
      </c>
      <c r="D52" s="62" t="n">
        <v>0.15</v>
      </c>
      <c r="E52" s="62" t="n">
        <v>0.12</v>
      </c>
      <c r="F52" s="62" t="n">
        <v>0.1</v>
      </c>
      <c r="G52" s="62" t="n">
        <v>0.08</v>
      </c>
    </row>
    <row r="53" customFormat="false" ht="15" hidden="false" customHeight="false" outlineLevel="0" collapsed="false">
      <c r="A53" s="3" t="s">
        <v>416</v>
      </c>
      <c r="B53" s="62" t="n">
        <v>0.1</v>
      </c>
      <c r="C53" s="62" t="n">
        <v>0.25</v>
      </c>
      <c r="D53" s="62" t="n">
        <v>0.22</v>
      </c>
      <c r="E53" s="62" t="n">
        <v>0.18</v>
      </c>
      <c r="F53" s="62" t="n">
        <v>0.14</v>
      </c>
      <c r="G53" s="62" t="n">
        <v>0.12</v>
      </c>
    </row>
    <row r="54" customFormat="false" ht="15" hidden="false" customHeight="false" outlineLevel="0" collapsed="false">
      <c r="A54" s="3" t="s">
        <v>417</v>
      </c>
      <c r="B54" s="62" t="n">
        <v>0.05</v>
      </c>
      <c r="C54" s="62" t="n">
        <v>0.1</v>
      </c>
      <c r="D54" s="62" t="n">
        <v>0.12</v>
      </c>
      <c r="E54" s="62" t="n">
        <v>0.12</v>
      </c>
      <c r="F54" s="62" t="n">
        <v>0.12</v>
      </c>
      <c r="G54" s="62" t="n">
        <v>0.1</v>
      </c>
    </row>
    <row r="55" customFormat="false" ht="15" hidden="false" customHeight="false" outlineLevel="0" collapsed="false">
      <c r="A55" s="3" t="s">
        <v>418</v>
      </c>
      <c r="B55" s="62" t="n">
        <v>0</v>
      </c>
      <c r="C55" s="62" t="n">
        <v>0</v>
      </c>
      <c r="D55" s="62" t="n">
        <v>0.08</v>
      </c>
      <c r="E55" s="62" t="n">
        <v>0.08</v>
      </c>
      <c r="F55" s="62" t="n">
        <v>0.07</v>
      </c>
      <c r="G55" s="62" t="n">
        <v>0.06</v>
      </c>
    </row>
    <row r="56" customFormat="false" ht="15" hidden="false" customHeight="false" outlineLevel="0" collapsed="false">
      <c r="A56" s="3" t="s">
        <v>419</v>
      </c>
      <c r="B56" s="62" t="n">
        <v>0</v>
      </c>
      <c r="C56" s="62" t="n">
        <v>0.05</v>
      </c>
      <c r="D56" s="62" t="n">
        <v>0.08</v>
      </c>
      <c r="E56" s="62" t="n">
        <v>0.08</v>
      </c>
      <c r="F56" s="62" t="n">
        <v>0.07</v>
      </c>
      <c r="G56" s="62" t="n">
        <v>0.06</v>
      </c>
    </row>
    <row r="57" customFormat="false" ht="15" hidden="false" customHeight="false" outlineLevel="0" collapsed="false">
      <c r="A57" s="3" t="s">
        <v>420</v>
      </c>
      <c r="B57" s="62" t="n">
        <v>0</v>
      </c>
      <c r="C57" s="62" t="n">
        <v>0</v>
      </c>
      <c r="D57" s="62" t="n">
        <v>0.05</v>
      </c>
      <c r="E57" s="62" t="n">
        <v>0.1</v>
      </c>
      <c r="F57" s="62" t="n">
        <v>0.1</v>
      </c>
      <c r="G57" s="62" t="n">
        <v>0.1</v>
      </c>
    </row>
    <row r="58" customFormat="false" ht="15" hidden="false" customHeight="false" outlineLevel="0" collapsed="false">
      <c r="A58" s="3" t="s">
        <v>421</v>
      </c>
      <c r="B58" s="62" t="n">
        <v>0</v>
      </c>
      <c r="C58" s="62" t="n">
        <v>0</v>
      </c>
      <c r="D58" s="62" t="n">
        <v>0.04</v>
      </c>
      <c r="E58" s="62" t="n">
        <v>0.06</v>
      </c>
      <c r="F58" s="62" t="n">
        <v>0.12</v>
      </c>
      <c r="G58" s="62" t="n">
        <v>0.14</v>
      </c>
    </row>
    <row r="59" customFormat="false" ht="15" hidden="false" customHeight="false" outlineLevel="0" collapsed="false">
      <c r="A59" s="3" t="s">
        <v>422</v>
      </c>
      <c r="B59" s="62" t="n">
        <v>0.05</v>
      </c>
      <c r="C59" s="62" t="n">
        <v>0.05</v>
      </c>
      <c r="D59" s="62" t="n">
        <v>0.05</v>
      </c>
      <c r="E59" s="62" t="n">
        <v>0.06</v>
      </c>
      <c r="F59" s="62" t="n">
        <v>0.06</v>
      </c>
      <c r="G59" s="62" t="n">
        <v>0.08</v>
      </c>
    </row>
    <row r="60" customFormat="false" ht="15" hidden="false" customHeight="false" outlineLevel="0" collapsed="false">
      <c r="A60" s="3" t="s">
        <v>423</v>
      </c>
      <c r="B60" s="62" t="n">
        <v>0</v>
      </c>
      <c r="C60" s="62" t="n">
        <v>0</v>
      </c>
      <c r="D60" s="62" t="n">
        <v>0</v>
      </c>
      <c r="E60" s="62" t="n">
        <v>0</v>
      </c>
      <c r="F60" s="62" t="n">
        <v>0.06</v>
      </c>
      <c r="G60" s="62" t="n">
        <v>0.1</v>
      </c>
    </row>
    <row r="61" customFormat="false" ht="15" hidden="false" customHeight="false" outlineLevel="0" collapsed="false">
      <c r="A61" s="3" t="s">
        <v>424</v>
      </c>
      <c r="B61" s="62" t="n">
        <v>0</v>
      </c>
      <c r="C61" s="62" t="n">
        <v>0</v>
      </c>
      <c r="D61" s="62" t="n">
        <v>0</v>
      </c>
      <c r="E61" s="62" t="n">
        <v>0.05</v>
      </c>
      <c r="F61" s="62" t="n">
        <v>0.04</v>
      </c>
      <c r="G61" s="62" t="n">
        <v>0.06</v>
      </c>
    </row>
    <row r="62" customFormat="false" ht="15" hidden="false" customHeight="false" outlineLevel="0" collapsed="false">
      <c r="A62" s="3" t="s">
        <v>425</v>
      </c>
      <c r="B62" s="62" t="n">
        <v>0</v>
      </c>
      <c r="C62" s="62" t="n">
        <v>0.05</v>
      </c>
      <c r="D62" s="62" t="n">
        <v>0.03</v>
      </c>
      <c r="E62" s="62" t="n">
        <v>0.03</v>
      </c>
      <c r="F62" s="62" t="n">
        <v>0.04</v>
      </c>
      <c r="G62" s="62" t="n">
        <v>0.04</v>
      </c>
    </row>
    <row r="63" customFormat="false" ht="15" hidden="false" customHeight="false" outlineLevel="0" collapsed="false">
      <c r="A63" s="16" t="s">
        <v>145</v>
      </c>
      <c r="B63" s="3" t="str">
        <f aca="false">IF(ROUND(SUM(B51:B62),6)=1,"OK","Must add up to 100%")</f>
        <v>OK</v>
      </c>
      <c r="C63" s="3" t="str">
        <f aca="false">IF(ROUND(SUM(C51:C62),6)=1,"OK","Must add up to 100%")</f>
        <v>OK</v>
      </c>
      <c r="D63" s="3" t="str">
        <f aca="false">IF(ROUND(SUM(D51:D62),6)=1,"OK","Must add up to 100%")</f>
        <v>OK</v>
      </c>
      <c r="E63" s="3" t="str">
        <f aca="false">IF(ROUND(SUM(E51:E62),6)=1,"OK","Must add up to 100%")</f>
        <v>OK</v>
      </c>
      <c r="F63" s="3" t="str">
        <f aca="false">IF(ROUND(SUM(F51:F62),6)=1,"OK","Must add up to 100%")</f>
        <v>OK</v>
      </c>
      <c r="G63" s="3" t="str">
        <f aca="false">IF(ROUND(SUM(G51:G62),6)=1,"OK","Must add up to 100%")</f>
        <v>OK</v>
      </c>
    </row>
    <row r="64" customFormat="false" ht="30" hidden="false" customHeight="true" outlineLevel="0" collapsed="false">
      <c r="A64" s="16" t="s">
        <v>426</v>
      </c>
      <c r="B64" s="64" t="str">
        <f aca="false">INDEX($A$51:$A$62,MATCH(MAX(B51:B62),B51:B62,0))</f>
        <v>Streaming (clicking) and Fever</v>
      </c>
      <c r="C64" s="64" t="str">
        <f aca="false">INDEX($A$51:$A$62,MATCH(MAX(C51:C62),C51:C62,0))</f>
        <v>Streaming (clicking) and Fever</v>
      </c>
      <c r="D64" s="64" t="str">
        <f aca="false">INDEX($A$51:$A$62,MATCH(MAX(D51:D62),D51:D62,0))</f>
        <v>Boss fights and stages</v>
      </c>
      <c r="E64" s="64" t="str">
        <f aca="false">INDEX($A$51:$A$62,MATCH(MAX(E51:E62),E51:E62,0))</f>
        <v>Boss fights and stages</v>
      </c>
      <c r="F64" s="64" t="str">
        <f aca="false">INDEX($A$51:$A$62,MATCH(MAX(F51:F62),F51:F62,0))</f>
        <v>Boss fights and stages</v>
      </c>
      <c r="G64" s="64" t="str">
        <f aca="false">INDEX($A$51:$A$62,MATCH(MAX(G51:G62),G51:G62,0))</f>
        <v>Comeback events</v>
      </c>
    </row>
    <row r="65" customFormat="false" ht="15" hidden="false" customHeight="false" outlineLevel="0" collapsed="false">
      <c r="A65" s="16" t="s">
        <v>427</v>
      </c>
      <c r="B65" s="18" t="n">
        <f aca="false">COUNTIF(B51:B62,"&gt;=0.1")</f>
        <v>3</v>
      </c>
      <c r="C65" s="18" t="n">
        <f aca="false">COUNTIF(C51:C62,"&gt;=0.1")</f>
        <v>4</v>
      </c>
      <c r="D65" s="18" t="n">
        <f aca="false">COUNTIF(D51:D62,"&gt;=0.1")</f>
        <v>4</v>
      </c>
      <c r="E65" s="18" t="n">
        <f aca="false">COUNTIF(E51:E62,"&gt;=0.1")</f>
        <v>5</v>
      </c>
      <c r="F65" s="18" t="n">
        <f aca="false">COUNTIF(F51:F62,"&gt;=0.1")</f>
        <v>5</v>
      </c>
      <c r="G65" s="18" t="n">
        <f aca="false">COUNTIF(G51:G62,"&gt;=0.1")</f>
        <v>5</v>
      </c>
    </row>
    <row r="66" customFormat="false" ht="15" hidden="false" customHeight="false" outlineLevel="0" collapsed="false">
      <c r="A66" s="5" t="s">
        <v>428</v>
      </c>
    </row>
  </sheetData>
  <conditionalFormatting sqref="H6:H23">
    <cfRule type="expression" priority="2" aboveAverage="0" equalAverage="0" bottom="0" percent="0" rank="0" text="" dxfId="0">
      <formula>LEFT(H6,2)="OK"</formula>
    </cfRule>
    <cfRule type="expression" priority="3" aboveAverage="0" equalAverage="0" bottom="0" percent="0" rank="0" text="" dxfId="1">
      <formula>AND(H6&lt;&gt;"",LEFT(H6,2)&lt;&gt;"OK")</formula>
    </cfRule>
  </conditionalFormatting>
  <conditionalFormatting sqref="C27:G44">
    <cfRule type="colorScale" priority="4">
      <colorScale>
        <cfvo type="num" val="0"/>
        <cfvo type="max" val="0"/>
        <color rgb="FFFFFFFF"/>
        <color rgb="FFF8696B"/>
      </colorScale>
    </cfRule>
  </conditionalFormatting>
  <conditionalFormatting sqref="B51:G62">
    <cfRule type="colorScale" priority="5">
      <colorScale>
        <cfvo type="num" val="0"/>
        <cfvo type="max" val="0"/>
        <color rgb="FFFFFFFF"/>
        <color rgb="FFF4B183"/>
      </colorScale>
    </cfRule>
  </conditionalFormatting>
  <conditionalFormatting sqref="B63:G63">
    <cfRule type="expression" priority="6" aboveAverage="0" equalAverage="0" bottom="0" percent="0" rank="0" text="" dxfId="0">
      <formula>LEFT(B63,2)="OK"</formula>
    </cfRule>
    <cfRule type="expression" priority="7" aboveAverage="0" equalAverage="0" bottom="0" percent="0" rank="0" text="" dxfId="1">
      <formula>AND(B63&lt;&gt;"",LEFT(B63,2)&lt;&gt;"OK")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4" t="s">
        <v>429</v>
      </c>
    </row>
    <row r="2" customFormat="false" ht="15" hidden="false" customHeight="false" outlineLevel="0" collapsed="false">
      <c r="A2" s="5" t="s">
        <v>430</v>
      </c>
    </row>
    <row r="4" customFormat="false" ht="30" hidden="false" customHeight="true" outlineLevel="0" collapsed="false">
      <c r="A4" s="6" t="s">
        <v>431</v>
      </c>
      <c r="B4" s="6" t="s">
        <v>432</v>
      </c>
      <c r="C4" s="6" t="s">
        <v>433</v>
      </c>
      <c r="D4" s="6" t="s">
        <v>434</v>
      </c>
      <c r="E4" s="6" t="s">
        <v>435</v>
      </c>
    </row>
    <row r="5" customFormat="false" ht="35.05" hidden="false" customHeight="false" outlineLevel="0" collapsed="false">
      <c r="A5" s="64" t="s">
        <v>436</v>
      </c>
      <c r="B5" s="64" t="s">
        <v>437</v>
      </c>
      <c r="C5" s="64" t="s">
        <v>438</v>
      </c>
      <c r="D5" s="64" t="s">
        <v>439</v>
      </c>
      <c r="E5" s="64" t="s">
        <v>440</v>
      </c>
    </row>
    <row r="6" customFormat="false" ht="15" hidden="false" customHeight="false" outlineLevel="0" collapsed="false">
      <c r="A6" s="64" t="s">
        <v>441</v>
      </c>
      <c r="B6" s="64" t="s">
        <v>442</v>
      </c>
      <c r="C6" s="64" t="s">
        <v>443</v>
      </c>
      <c r="D6" s="64" t="s">
        <v>444</v>
      </c>
      <c r="E6" s="64" t="s">
        <v>445</v>
      </c>
    </row>
    <row r="7" customFormat="false" ht="23.85" hidden="false" customHeight="false" outlineLevel="0" collapsed="false">
      <c r="A7" s="64" t="s">
        <v>446</v>
      </c>
      <c r="B7" s="64" t="s">
        <v>447</v>
      </c>
      <c r="C7" s="64" t="s">
        <v>448</v>
      </c>
      <c r="D7" s="64" t="s">
        <v>449</v>
      </c>
      <c r="E7" s="64" t="s">
        <v>450</v>
      </c>
    </row>
    <row r="8" customFormat="false" ht="23.85" hidden="false" customHeight="false" outlineLevel="0" collapsed="false">
      <c r="A8" s="64" t="s">
        <v>451</v>
      </c>
      <c r="B8" s="64" t="s">
        <v>452</v>
      </c>
      <c r="C8" s="64" t="s">
        <v>453</v>
      </c>
      <c r="D8" s="64" t="s">
        <v>454</v>
      </c>
      <c r="E8" s="64" t="s">
        <v>455</v>
      </c>
    </row>
    <row r="9" customFormat="false" ht="15" hidden="false" customHeight="false" outlineLevel="0" collapsed="false">
      <c r="A9" s="64" t="s">
        <v>456</v>
      </c>
      <c r="B9" s="64" t="s">
        <v>457</v>
      </c>
      <c r="C9" s="64" t="s">
        <v>453</v>
      </c>
      <c r="D9" s="64" t="s">
        <v>458</v>
      </c>
      <c r="E9" s="64" t="s">
        <v>459</v>
      </c>
    </row>
    <row r="10" customFormat="false" ht="15" hidden="false" customHeight="false" outlineLevel="0" collapsed="false">
      <c r="A10" s="64" t="s">
        <v>460</v>
      </c>
      <c r="B10" s="64" t="s">
        <v>461</v>
      </c>
      <c r="C10" s="64" t="s">
        <v>462</v>
      </c>
      <c r="D10" s="64" t="s">
        <v>463</v>
      </c>
      <c r="E10" s="64" t="s">
        <v>464</v>
      </c>
    </row>
    <row r="11" customFormat="false" ht="23.85" hidden="false" customHeight="false" outlineLevel="0" collapsed="false">
      <c r="A11" s="64" t="s">
        <v>465</v>
      </c>
      <c r="B11" s="64" t="s">
        <v>466</v>
      </c>
      <c r="C11" s="64" t="s">
        <v>467</v>
      </c>
      <c r="D11" s="64" t="s">
        <v>468</v>
      </c>
      <c r="E11" s="64" t="s">
        <v>469</v>
      </c>
    </row>
    <row r="12" customFormat="false" ht="15" hidden="false" customHeight="false" outlineLevel="0" collapsed="false">
      <c r="A12" s="64" t="s">
        <v>470</v>
      </c>
      <c r="B12" s="64" t="s">
        <v>471</v>
      </c>
      <c r="C12" s="64" t="s">
        <v>472</v>
      </c>
      <c r="D12" s="64" t="s">
        <v>473</v>
      </c>
      <c r="E12" s="64" t="s">
        <v>474</v>
      </c>
    </row>
    <row r="13" customFormat="false" ht="15" hidden="false" customHeight="false" outlineLevel="0" collapsed="false">
      <c r="A13" s="64" t="s">
        <v>475</v>
      </c>
      <c r="B13" s="64" t="s">
        <v>476</v>
      </c>
      <c r="C13" s="64" t="s">
        <v>477</v>
      </c>
      <c r="D13" s="64" t="s">
        <v>478</v>
      </c>
      <c r="E13" s="64" t="s">
        <v>479</v>
      </c>
    </row>
    <row r="14" customFormat="false" ht="15" hidden="false" customHeight="false" outlineLevel="0" collapsed="false">
      <c r="A14" s="64" t="s">
        <v>480</v>
      </c>
      <c r="B14" s="64" t="s">
        <v>481</v>
      </c>
      <c r="C14" s="64" t="s">
        <v>482</v>
      </c>
      <c r="D14" s="64" t="s">
        <v>483</v>
      </c>
      <c r="E14" s="64" t="s">
        <v>484</v>
      </c>
    </row>
    <row r="15" customFormat="false" ht="23.85" hidden="false" customHeight="false" outlineLevel="0" collapsed="false">
      <c r="A15" s="64" t="s">
        <v>485</v>
      </c>
      <c r="B15" s="64" t="s">
        <v>486</v>
      </c>
      <c r="C15" s="64" t="s">
        <v>487</v>
      </c>
      <c r="D15" s="64" t="s">
        <v>488</v>
      </c>
      <c r="E15" s="64" t="s">
        <v>489</v>
      </c>
    </row>
    <row r="16" customFormat="false" ht="15" hidden="false" customHeight="false" outlineLevel="0" collapsed="false">
      <c r="A16" s="64" t="s">
        <v>490</v>
      </c>
      <c r="B16" s="64" t="s">
        <v>491</v>
      </c>
      <c r="C16" s="64" t="s">
        <v>492</v>
      </c>
      <c r="D16" s="64" t="s">
        <v>493</v>
      </c>
      <c r="E16" s="64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2026-10-27T17:00:00Z</dcterms:created>
  <dc:creator>openpyxl</dc:creator>
  <dc:description/>
  <dc:language>en-US</dc:language>
  <cp:lastModifiedBy/>
  <dcterms:modified xsi:type="dcterms:W3CDTF">2026-10-27T17:00:00Z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